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0226fe644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oversikt" sheetId="1" r:id="R96d3f70a26bb4861"/>
    <x:sheet xmlns:r="http://schemas.openxmlformats.org/officeDocument/2006/relationships" name="Testliste" sheetId="2" r:id="R3c9346e8514944de"/>
    <x:sheet xmlns:r="http://schemas.openxmlformats.org/officeDocument/2006/relationships" name="Dekning" sheetId="3" r:id="R3a130c53548a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0"/>
      <x:name val="Arial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B7C9D6"/>
      </x:top>
    </x:border>
    <x:border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6" fillId="0" borderId="3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E39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728207589457d" /><Relationship Type="http://schemas.openxmlformats.org/officeDocument/2006/relationships/theme" Target="/xl/theme/theme1.xml" Id="R9e369ffde9964452" /><Relationship Type="http://schemas.openxmlformats.org/officeDocument/2006/relationships/sharedStrings" Target="/xl/sharedStrings.xml" Id="R18de6afc3a4248b1" /><Relationship Type="http://schemas.openxmlformats.org/officeDocument/2006/relationships/worksheet" Target="/xl/worksheets/sheet1.xml" Id="R96d3f70a26bb4861" /><Relationship Type="http://schemas.openxmlformats.org/officeDocument/2006/relationships/worksheet" Target="/xl/worksheets/sheet2.xml" Id="R3c9346e8514944de" /><Relationship Type="http://schemas.openxmlformats.org/officeDocument/2006/relationships/worksheet" Target="/xl/worksheets/sheet3.xml" Id="R3a130c53548a4ed0" /></Relationships>
</file>

<file path=xl/tables/table1.xml><?xml version="1.0" encoding="utf-8"?>
<x:table xmlns:x="http://schemas.openxmlformats.org/spreadsheetml/2006/main" id="1" name="FullTestTable" displayName="FullTestTable" ref="A4:J68" headerRowCount="1" totalsRowCount="0" totalsRowShown="0">
  <x:tableColumns count="10">
    <x:tableColumn id="1" name="ID"/>
    <x:tableColumn id="2" name="Område"/>
    <x:tableColumn id="3" name="Funksjon"/>
    <x:tableColumn id="4" name="Testscenario"/>
    <x:tableColumn id="5" name="Forventet resultat"/>
    <x:tableColumn id="6" name="Bevis å kontrollere"/>
    <x:tableColumn id="7" name="Status"/>
    <x:tableColumn id="8" name="Testet av"/>
    <x:tableColumn id="9" name="Dato"/>
    <x:tableColumn id="10" name="Nota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611015adfe4b9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78" hidden="0" customWidth="1"/>
    <x:col min="4" max="4" width="24" hidden="0" customWidth="1"/>
    <x:col min="5" max="5" width="14" hidden="0" customWidth="1"/>
    <x:col min="6" max="6" width="4" hidden="0" customWidth="1"/>
    <x:col min="7" max="7" width="4" hidden="0" customWidth="1"/>
    <x:col min="8" max="8" width="4" hidden="0" customWidth="1"/>
  </x:cols>
  <x:sheetData>
    <x:row r="1" ht="26" customHeight="1">
      <x:c r="A1" s="6" t="str">
        <x:v>Testoversikt: Jira ↔ Miro sync</x:v>
      </x:c>
      <x:c r="B1" s="6"/>
      <x:c r="C1" s="6"/>
      <x:c r="D1" s="6"/>
      <x:c r="E1" s="6"/>
      <x:c r="F1" s="6"/>
      <x:c r="G1" s="6"/>
      <x:c r="H1" s="6"/>
    </x:row>
    <x:row r="2" ht="30" customHeight="1">
      <x:c r="A2" s="8" t="str">
        <x:v>Arbeidsark for full gjennomgang før løsningen erklæres ferdig. Start i Testliste og registrer faktisk resultat og bevis.</x:v>
      </x:c>
      <x:c r="B2" s="8"/>
      <x:c r="C2" s="8"/>
      <x:c r="D2" s="8"/>
      <x:c r="E2" s="8"/>
      <x:c r="F2" s="8"/>
      <x:c r="G2" s="8"/>
      <x:c r="H2" s="8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18" t="str">
        <x:v>Måling</x:v>
      </x:c>
      <x:c r="B4" s="19" t="str">
        <x:v>Verdi</x:v>
      </x:c>
      <x:c r="C4" s="2"/>
      <x:c r="D4" s="18" t="str">
        <x:v>Område</x:v>
      </x:c>
      <x:c r="E4" s="19" t="str">
        <x:v>Antall</x:v>
      </x:c>
      <x:c r="F4" s="2"/>
      <x:c r="G4" s="2"/>
      <x:c r="H4" s="2"/>
    </x:row>
    <x:row r="5">
      <x:c r="A5" s="20" t="str">
        <x:v>Totalt antall tester</x:v>
      </x:c>
      <x:c r="B5" s="21" t="n">
        <x:f>COUNTA(Testliste!$A$5:$A$68)</x:f>
        <x:v>64</x:v>
      </x:c>
      <x:c r="C5" s="2"/>
      <x:c r="D5" s="20" t="str">
        <x:v>Drift og sikkerhet</x:v>
      </x:c>
      <x:c r="E5" s="21" t="n">
        <x:f>COUNTIF(Testliste!$B$5:$B$68,"Drift og sikkerhet")</x:f>
        <x:v>5</x:v>
      </x:c>
      <x:c r="F5" s="2"/>
      <x:c r="G5" s="2"/>
      <x:c r="H5" s="2"/>
    </x:row>
    <x:row r="6">
      <x:c r="A6" s="20" t="str">
        <x:v>Bestått</x:v>
      </x:c>
      <x:c r="B6" s="21" t="n">
        <x:f>COUNTIF(Testliste!$G$5:$G$68,"Bestått")</x:f>
        <x:v>56</x:v>
      </x:c>
      <x:c r="C6" s="2"/>
      <x:c r="D6" s="20" t="str">
        <x:v>Jira → Miro</x:v>
      </x:c>
      <x:c r="E6" s="21" t="n">
        <x:f>COUNTIF(Testliste!$B$5:$B$68,"Jira → Miro")</x:f>
        <x:v>17</x:v>
      </x:c>
      <x:c r="F6" s="2"/>
      <x:c r="G6" s="2"/>
      <x:c r="H6" s="2"/>
    </x:row>
    <x:row r="7">
      <x:c r="A7" s="20" t="str">
        <x:v>Feilet</x:v>
      </x:c>
      <x:c r="B7" s="21" t="n">
        <x:f>COUNTIF(Testliste!$G$5:$G$68,"Feilet")</x:f>
        <x:v>0</x:v>
      </x:c>
      <x:c r="C7" s="2"/>
      <x:c r="D7" s="20" t="str">
        <x:v>Miro → Jira</x:v>
      </x:c>
      <x:c r="E7" s="21" t="n">
        <x:f>COUNTIF(Testliste!$B$5:$B$68,"Miro → Jira")</x:f>
        <x:v>13</x:v>
      </x:c>
      <x:c r="F7" s="2"/>
      <x:c r="G7" s="2"/>
      <x:c r="H7" s="2"/>
    </x:row>
    <x:row r="8">
      <x:c r="A8" s="20" t="str">
        <x:v>Blokkert</x:v>
      </x:c>
      <x:c r="B8" s="21" t="n">
        <x:f>COUNTIF(Testliste!$G$5:$G$68,"Blokkert")</x:f>
        <x:v>0</x:v>
      </x:c>
      <x:c r="C8" s="2"/>
      <x:c r="D8" s="20" t="str">
        <x:v>Sticky → Jira</x:v>
      </x:c>
      <x:c r="E8" s="21" t="n">
        <x:f>COUNTIF(Testliste!$B$5:$B$68,"Sticky → Jira")</x:f>
        <x:v>16</x:v>
      </x:c>
      <x:c r="F8" s="2"/>
      <x:c r="G8" s="2"/>
      <x:c r="H8" s="2"/>
    </x:row>
    <x:row r="9">
      <x:c r="A9" s="20" t="str">
        <x:v>Ikke testet</x:v>
      </x:c>
      <x:c r="B9" s="21" t="n">
        <x:f>COUNTIF(Testliste!$G$5:$G$68,"Ikke testet")</x:f>
        <x:v>4</x:v>
      </x:c>
      <x:c r="C9" s="2"/>
      <x:c r="D9" s="20" t="str">
        <x:v>Miro-app og UI</x:v>
      </x:c>
      <x:c r="E9" s="21" t="n">
        <x:f>COUNTIF(Testliste!$B$5:$B$68,"Miro-app og UI")</x:f>
        <x:v>8</x:v>
      </x:c>
      <x:c r="F9" s="2"/>
      <x:c r="G9" s="2"/>
      <x:c r="H9" s="2"/>
    </x:row>
    <x:row r="10">
      <x:c r="A10" s="22" t="str">
        <x:v>Ikke relevant</x:v>
      </x:c>
      <x:c r="B10" s="23" t="n">
        <x:f>COUNTIF(Testliste!$G$5:$G$68,"Ikke relevant")</x:f>
        <x:v>4</x:v>
      </x:c>
      <x:c r="C10" s="2"/>
      <x:c r="D10" s="22" t="str">
        <x:v>Reliabilitet</x:v>
      </x:c>
      <x:c r="E10" s="23" t="n">
        <x:f>COUNTIF(Testliste!$B$5:$B$68,"Reliabilitet")</x:f>
        <x:v>5</x:v>
      </x:c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17" t="str">
        <x:v>Foreslått gjennomføringsrekkefølge</x:v>
      </x:c>
      <x:c r="B13" s="17"/>
      <x:c r="C13" s="17"/>
      <x:c r="D13" s="17"/>
      <x:c r="E13" s="17"/>
      <x:c r="F13" s="17"/>
      <x:c r="G13" s="17"/>
      <x:c r="H13" s="17"/>
    </x:row>
    <x:row r="14" ht="30" customHeight="1">
      <x:c r="A14" s="25" t="str">
        <x:v>1</x:v>
      </x:c>
      <x:c r="B14" s="24" t="str">
        <x:v>Testoversikt</x:v>
      </x:c>
      <x:c r="C14" s="24" t="str">
        <x:v>Registrer tester i Testliste, én rad per scenario.</x:v>
      </x:c>
      <x:c r="D14" s="24" t="str"/>
      <x:c r="E14" s="24" t="str"/>
      <x:c r="F14" s="24" t="str"/>
      <x:c r="G14" s="24" t="str"/>
      <x:c r="H14" s="24" t="str"/>
    </x:row>
    <x:row r="15" ht="30" customHeight="1">
      <x:c r="A15" s="25" t="str">
        <x:v>2</x:v>
      </x:c>
      <x:c r="B15" s="24" t="str">
        <x:v>Drift og sikkerhet</x:v>
      </x:c>
      <x:c r="C15" s="24" t="str">
        <x:v>Kjør A-01 til A-05 før funksjonell testing.</x:v>
      </x:c>
      <x:c r="D15" s="24" t="str"/>
      <x:c r="E15" s="24" t="str"/>
      <x:c r="F15" s="24" t="str"/>
      <x:c r="G15" s="24" t="str"/>
      <x:c r="H15" s="24" t="str"/>
    </x:row>
    <x:row r="16" ht="30" customHeight="1">
      <x:c r="A16" s="25" t="str">
        <x:v>3</x:v>
      </x:c>
      <x:c r="B16" s="24" t="str">
        <x:v>Jira → Miro</x:v>
      </x:c>
      <x:c r="C16" s="24" t="str">
        <x:v>Kjør B-01 til B-17 med minst én eksisterende custom-card.</x:v>
      </x:c>
      <x:c r="D16" s="24" t="str"/>
      <x:c r="E16" s="24" t="str"/>
      <x:c r="F16" s="24" t="str"/>
      <x:c r="G16" s="24" t="str"/>
      <x:c r="H16" s="24" t="str"/>
    </x:row>
    <x:row r="17" ht="30" customHeight="1">
      <x:c r="A17" s="25" t="str">
        <x:v>4</x:v>
      </x:c>
      <x:c r="B17" s="24" t="str">
        <x:v>Miro → Jira</x:v>
      </x:c>
      <x:c r="C17" s="24" t="str">
        <x:v>Kjør C-01 til C-13, inkludert grensetilfeller og rollback.</x:v>
      </x:c>
      <x:c r="D17" s="24" t="str"/>
      <x:c r="E17" s="24" t="str"/>
      <x:c r="F17" s="24" t="str"/>
      <x:c r="G17" s="24" t="str"/>
      <x:c r="H17" s="24" t="str"/>
    </x:row>
    <x:row r="18" ht="30" customHeight="1">
      <x:c r="A18" s="25" t="str">
        <x:v>5</x:v>
      </x:c>
      <x:c r="B18" s="24" t="str">
        <x:v>Sticky og UI</x:v>
      </x:c>
      <x:c r="C18" s="24" t="str">
        <x:v>Kjør D-01 til D-16 og E-01 til E-08, inkludert kontroll av Jira-lenker på kort.</x:v>
      </x:c>
      <x:c r="D18" s="24" t="str"/>
      <x:c r="E18" s="24" t="str"/>
      <x:c r="F18" s="24" t="str"/>
      <x:c r="G18" s="24" t="str"/>
      <x:c r="H18" s="24" t="str"/>
    </x:row>
    <x:row r="19" ht="30" customHeight="1">
      <x:c r="A19" s="25" t="str">
        <x:v>6</x:v>
      </x:c>
      <x:c r="B19" s="24" t="str">
        <x:v>Reliabilitet</x:v>
      </x:c>
      <x:c r="C19" s="24" t="str">
        <x:v>Kjør F-01 til F-05 til slutt og gjenta eventuelle feilede tester.</x:v>
      </x:c>
      <x:c r="D19" s="24" t="str"/>
      <x:c r="E19" s="24" t="str"/>
      <x:c r="F19" s="24" t="str"/>
      <x:c r="G19" s="24" t="str"/>
      <x:c r="H19" s="24" t="str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28" hidden="0" customWidth="1"/>
    <x:col min="4" max="4" width="42" hidden="0" customWidth="1"/>
    <x:col min="5" max="5" width="58" hidden="0" customWidth="1"/>
    <x:col min="6" max="6" width="30" hidden="0" customWidth="1"/>
    <x:col min="7" max="7" width="14" hidden="0" customWidth="1"/>
    <x:col min="8" max="8" width="18" hidden="0" customWidth="1"/>
    <x:col min="9" max="9" width="14" hidden="0" customWidth="1"/>
    <x:col min="10" max="10" width="28" hidden="0" customWidth="1"/>
  </x:cols>
  <x:sheetData>
    <x:row r="1" ht="26" customHeight="1">
      <x:c r="A1" s="6" t="str">
        <x:v>Full systemtest: Jira ↔ Miro sync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4" customHeight="1">
      <x:c r="A2" s="8" t="str">
        <x:v>Fyll ut Status, Testet av, Dato og Notater under gjennomføringen. Testlisten dekker Worker-routes, Jira → Miro, Miro → Jira, sticky-konvertering, app/UI og drift.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2" customHeight="1">
      <x:c r="A4" s="13" t="str">
        <x:v>ID</x:v>
      </x:c>
      <x:c r="B4" s="13" t="str">
        <x:v>Område</x:v>
      </x:c>
      <x:c r="C4" s="13" t="str">
        <x:v>Funksjon</x:v>
      </x:c>
      <x:c r="D4" s="13" t="str">
        <x:v>Testscenario</x:v>
      </x:c>
      <x:c r="E4" s="13" t="str">
        <x:v>Forventet resultat</x:v>
      </x:c>
      <x:c r="F4" s="13" t="str">
        <x:v>Bevis å kontrollere</x:v>
      </x:c>
      <x:c r="G4" s="13" t="str">
        <x:v>Status</x:v>
      </x:c>
      <x:c r="H4" s="13" t="str">
        <x:v>Testet av</x:v>
      </x:c>
      <x:c r="I4" s="13" t="str">
        <x:v>Dato</x:v>
      </x:c>
      <x:c r="J4" s="13" t="str">
        <x:v>Notater</x:v>
      </x:c>
    </x:row>
    <x:row r="5">
      <x:c r="A5" s="14" t="str">
        <x:v>A-01</x:v>
      </x:c>
      <x:c r="B5" s="3" t="str">
        <x:v>Drift og sikkerhet</x:v>
      </x:c>
      <x:c r="C5" s="3" t="str">
        <x:v>Health-sjekk</x:v>
      </x:c>
      <x:c r="D5" s="4" t="str">
        <x:v>Kall GET /health med alle produksjonsbindings tilgjengelig.</x:v>
      </x:c>
      <x:c r="E5" s="4" t="str">
        <x:v>Worker er OK og viser board, Jira, token, webhook secret, queue og card map som konfigurert.</x:v>
      </x:c>
      <x:c r="F5" s="4" t="str">
        <x:v>Health-respons viste ok:true og alle konfigurasjoner true.</x:v>
      </x:c>
      <x:c r="G5" s="3" t="str">
        <x:v>Bestått</x:v>
      </x:c>
      <x:c r="H5" s="3" t="str">
        <x:v>Terje</x:v>
      </x:c>
      <x:c r="I5" s="5" t="n">
        <x:v>46274.5</x:v>
      </x:c>
      <x:c r="J5" s="4" t="str"/>
    </x:row>
    <x:row r="6">
      <x:c r="A6" s="14" t="str">
        <x:v>A-02</x:v>
      </x:c>
      <x:c r="B6" s="3" t="str">
        <x:v>Drift og sikkerhet</x:v>
      </x:c>
      <x:c r="C6" s="3" t="str">
        <x:v>OPTIONS/CORS</x:v>
      </x:c>
      <x:c r="D6" s="4" t="str">
        <x:v>Kall OPTIONS mot Worker fra Miro-origin.</x:v>
      </x:c>
      <x:c r="E6" s="4" t="str">
        <x:v>Preflight svarer korrekt og nødvendige CORS-headere er med.</x:v>
      </x:c>
      <x:c r="F6" s="4" t="str">
        <x:v>Status 204 og ORIGIN_OK=True. Metoder og headers var korrekte.</x:v>
      </x:c>
      <x:c r="G6" s="3" t="str">
        <x:v>Bestått</x:v>
      </x:c>
      <x:c r="H6" s="3" t="str">
        <x:v>Terje</x:v>
      </x:c>
      <x:c r="I6" s="5" t="n">
        <x:v>46274.5</x:v>
      </x:c>
      <x:c r="J6" s="4" t="str"/>
    </x:row>
    <x:row r="7">
      <x:c r="A7" s="14" t="str">
        <x:v>A-03</x:v>
      </x:c>
      <x:c r="B7" s="3" t="str">
        <x:v>Drift og sikkerhet</x:v>
      </x:c>
      <x:c r="C7" s="3" t="str">
        <x:v>Ugyldig Miro-token</x:v>
      </x:c>
      <x:c r="D7" s="4" t="str">
        <x:v>Kall en Miro-beskyttet route uten eller med ugyldig Bearer-token.</x:v>
      </x:c>
      <x:c r="E7" s="4" t="str">
        <x:v>Kallet avvises med 401 og ingen data endres.</x:v>
      </x:c>
      <x:c r="F7" s="4" t="str">
        <x:v>HTTP 401 Unauthorized og body: Invalid Miro identity token.</x:v>
      </x:c>
      <x:c r="G7" s="3" t="str">
        <x:v>Bestått</x:v>
      </x:c>
      <x:c r="H7" s="3" t="str">
        <x:v>Terje</x:v>
      </x:c>
      <x:c r="I7" s="5" t="n">
        <x:v>46274.5</x:v>
      </x:c>
      <x:c r="J7" s="4" t="str"/>
    </x:row>
    <x:row r="8">
      <x:c r="A8" s="14" t="str">
        <x:v>A-04</x:v>
      </x:c>
      <x:c r="B8" s="3" t="str">
        <x:v>Drift og sikkerhet</x:v>
      </x:c>
      <x:c r="C8" s="3" t="str">
        <x:v>Ugyldig Jira-webhook</x:v>
      </x:c>
      <x:c r="D8" s="4" t="str">
        <x:v>Send POST / med feil X-Webhook-Secret.</x:v>
      </x:c>
      <x:c r="E8" s="4" t="str">
        <x:v>Kallet avvises med 401 og ingen Miro-endring skjer.</x:v>
      </x:c>
      <x:c r="F8" s="4" t="str">
        <x:v>HTTP 401 Unauthorized og body: Invalid Jira webhook secret.</x:v>
      </x:c>
      <x:c r="G8" s="3" t="str">
        <x:v>Bestått</x:v>
      </x:c>
      <x:c r="H8" s="3" t="str">
        <x:v>Terje</x:v>
      </x:c>
      <x:c r="I8" s="5" t="n">
        <x:v>46274.5</x:v>
      </x:c>
      <x:c r="J8" s="4" t="str"/>
    </x:row>
    <x:row r="9">
      <x:c r="A9" s="14" t="str">
        <x:v>A-05</x:v>
      </x:c>
      <x:c r="B9" s="3" t="str">
        <x:v>Drift og sikkerhet</x:v>
      </x:c>
      <x:c r="C9" s="3" t="str">
        <x:v>Feil prosjekt</x:v>
      </x:c>
      <x:c r="D9" s="4" t="str">
        <x:v>Send et gyldig webhook-payload for et annet prosjekt enn SN.</x:v>
      </x:c>
      <x:c r="E9" s="4" t="str">
        <x:v>Payload ignoreres uten Jira- eller Miro-endring.</x:v>
      </x:c>
      <x:c r="F9" s="4" t="str">
        <x:v>Respons: ok:true, ignored:true, reason: Only SN issues are approved, issueKey: ABC-1.</x:v>
      </x:c>
      <x:c r="G9" s="3" t="str">
        <x:v>Bestått</x:v>
      </x:c>
      <x:c r="H9" s="3" t="str">
        <x:v>Terje</x:v>
      </x:c>
      <x:c r="I9" s="5" t="n">
        <x:v>46274.5</x:v>
      </x:c>
      <x:c r="J9" s="4" t="str"/>
    </x:row>
    <x:row r="10">
      <x:c r="A10" s="14" t="str">
        <x:v>B-01</x:v>
      </x:c>
      <x:c r="B10" s="3" t="str">
        <x:v>Jira → Miro</x:v>
      </x:c>
      <x:c r="C10" s="3" t="str">
        <x:v>Ny Jira-sak</x:v>
      </x:c>
      <x:c r="D10" s="4" t="str">
        <x:v>Opprett en sak i Jira-prosjekt SN uten eksisterende Miro-mapping.</x:v>
      </x:c>
      <x:c r="E10" s="4" t="str">
        <x:v>Én custom Incoming-card opprettes. Ingen duplikat opprettes ved gjentatt webhook.</x:v>
      </x:c>
      <x:c r="F10" s="4" t="str">
        <x:v>Miro-board og CARD_MAP</x:v>
      </x:c>
      <x:c r="G10" s="3" t="str">
        <x:v>Bestått</x:v>
      </x:c>
      <x:c r="H10" s="3" t="str">
        <x:v>Terje</x:v>
      </x:c>
      <x:c r="I10" s="5" t="n">
        <x:v>46274.5</x:v>
      </x:c>
      <x:c r="J10" s="4" t="str">
        <x:v>Godkjent av bruker uten separat manuell test.</x:v>
      </x:c>
    </x:row>
    <x:row r="11">
      <x:c r="A11" s="14" t="str">
        <x:v>B-02</x:v>
      </x:c>
      <x:c r="B11" s="3" t="str">
        <x:v>Jira → Miro</x:v>
      </x:c>
      <x:c r="C11" s="3" t="str">
        <x:v>Eksisterende mapping</x:v>
      </x:c>
      <x:c r="D11" s="4" t="str">
        <x:v>Endre status på en Jira-sak som allerede har custom-card.</x:v>
      </x:c>
      <x:c r="E11" s="4" t="str">
        <x:v>Riktig Miro-card flyttes. Ingen ny card opprettes.</x:v>
      </x:c>
      <x:c r="F11" s="4" t="str">
        <x:v>Miro-board</x:v>
      </x:c>
      <x:c r="G11" s="3" t="str">
        <x:v>Bestått</x:v>
      </x:c>
      <x:c r="H11" s="3" t="str">
        <x:v>Terje</x:v>
      </x:c>
      <x:c r="I11" s="5" t="n">
        <x:v>46274.5</x:v>
      </x:c>
      <x:c r="J11" s="4" t="str">
        <x:v>Godkjent av bruker uten separat manuell test.</x:v>
      </x:c>
    </x:row>
    <x:row r="12">
      <x:c r="A12" s="14" t="str">
        <x:v>B-03</x:v>
      </x:c>
      <x:c r="B12" s="3" t="str">
        <x:v>Jira → Miro</x:v>
      </x:c>
      <x:c r="C12" s="3" t="str">
        <x:v>Status Todo</x:v>
      </x:c>
      <x:c r="D12" s="4" t="str">
        <x:v>Sett Jira-status til Todo.</x:v>
      </x:c>
      <x:c r="E12" s="4" t="str">
        <x:v>Kortet ligger i Todo-kolonnen og Y-posisjon beholdes.</x:v>
      </x:c>
      <x:c r="F12" s="4" t="str">
        <x:v>Før/etter-posisjon</x:v>
      </x:c>
      <x:c r="G12" s="3" t="str">
        <x:v>Bestått</x:v>
      </x:c>
      <x:c r="H12" s="3" t="str">
        <x:v>Terje</x:v>
      </x:c>
      <x:c r="I12" s="5" t="n">
        <x:v>46274.5</x:v>
      </x:c>
      <x:c r="J12" s="4" t="str">
        <x:v>Godkjent av bruker uten separat manuell test.</x:v>
      </x:c>
    </x:row>
    <x:row r="13">
      <x:c r="A13" s="14" t="str">
        <x:v>B-04</x:v>
      </x:c>
      <x:c r="B13" s="3" t="str">
        <x:v>Jira → Miro</x:v>
      </x:c>
      <x:c r="C13" s="3" t="str">
        <x:v>Status In Progress</x:v>
      </x:c>
      <x:c r="D13" s="4" t="str">
        <x:v>Sett Jira-status til In Progress.</x:v>
      </x:c>
      <x:c r="E13" s="4" t="str">
        <x:v>Kortet ligger i In Progress-kolonnen og Y-posisjon beholdes.</x:v>
      </x:c>
      <x:c r="F13" s="4" t="str">
        <x:v>Før/etter-posisjon</x:v>
      </x:c>
      <x:c r="G13" s="3" t="str">
        <x:v>Bestått</x:v>
      </x:c>
      <x:c r="H13" s="3" t="str">
        <x:v>Terje</x:v>
      </x:c>
      <x:c r="I13" s="5" t="n">
        <x:v>46274.5</x:v>
      </x:c>
      <x:c r="J13" s="4" t="str">
        <x:v>Godkjent av bruker uten separat manuell test.</x:v>
      </x:c>
    </x:row>
    <x:row r="14">
      <x:c r="A14" s="14" t="str">
        <x:v>B-05</x:v>
      </x:c>
      <x:c r="B14" s="3" t="str">
        <x:v>Jira → Miro</x:v>
      </x:c>
      <x:c r="C14" s="3" t="str">
        <x:v>Status Code Review</x:v>
      </x:c>
      <x:c r="D14" s="4" t="str">
        <x:v>Sett Jira-status til Code Review.</x:v>
      </x:c>
      <x:c r="E14" s="4" t="str">
        <x:v>Kortet ligger i Code Review-kolonnen og Y-posisjon beholdes.</x:v>
      </x:c>
      <x:c r="F14" s="4" t="str">
        <x:v>Før/etter-posisjon</x:v>
      </x:c>
      <x:c r="G14" s="3" t="str">
        <x:v>Bestått</x:v>
      </x:c>
      <x:c r="H14" s="3" t="str">
        <x:v>Terje</x:v>
      </x:c>
      <x:c r="I14" s="5" t="n">
        <x:v>46274.5</x:v>
      </x:c>
      <x:c r="J14" s="4" t="str">
        <x:v>Godkjent av bruker uten separat manuell test.</x:v>
      </x:c>
    </x:row>
    <x:row r="15">
      <x:c r="A15" s="14" t="str">
        <x:v>B-06</x:v>
      </x:c>
      <x:c r="B15" s="3" t="str">
        <x:v>Jira → Miro</x:v>
      </x:c>
      <x:c r="C15" s="3" t="str">
        <x:v>Status Functional Review</x:v>
      </x:c>
      <x:c r="D15" s="4" t="str">
        <x:v>Sett Jira-status til Functional Review.</x:v>
      </x:c>
      <x:c r="E15" s="4" t="str">
        <x:v>Kortet ligger i Functional Review-kolonnen og Y-posisjon beholdes.</x:v>
      </x:c>
      <x:c r="F15" s="4" t="str">
        <x:v>Før/etter-posisjon</x:v>
      </x:c>
      <x:c r="G15" s="3" t="str">
        <x:v>Bestått</x:v>
      </x:c>
      <x:c r="H15" s="3" t="str">
        <x:v>Terje</x:v>
      </x:c>
      <x:c r="I15" s="5" t="n">
        <x:v>46274.5</x:v>
      </x:c>
      <x:c r="J15" s="4" t="str">
        <x:v>Godkjent av bruker uten separat manuell test.</x:v>
      </x:c>
    </x:row>
    <x:row r="16">
      <x:c r="A16" s="14" t="str">
        <x:v>B-07</x:v>
      </x:c>
      <x:c r="B16" s="3" t="str">
        <x:v>Jira → Miro</x:v>
      </x:c>
      <x:c r="C16" s="3" t="str">
        <x:v>Status Done</x:v>
      </x:c>
      <x:c r="D16" s="4" t="str">
        <x:v>Sett Jira-status til Done.</x:v>
      </x:c>
      <x:c r="E16" s="4" t="str">
        <x:v>Kortet ligger i Done-kolonnen og Y-posisjon beholdes.</x:v>
      </x:c>
      <x:c r="F16" s="4" t="str">
        <x:v>Før/etter-posisjon</x:v>
      </x:c>
      <x:c r="G16" s="3" t="str">
        <x:v>Bestått</x:v>
      </x:c>
      <x:c r="H16" s="3" t="str">
        <x:v>Terje</x:v>
      </x:c>
      <x:c r="I16" s="5" t="n">
        <x:v>46274.5</x:v>
      </x:c>
      <x:c r="J16" s="4" t="str">
        <x:v>Godkjent av bruker uten separat manuell test.</x:v>
      </x:c>
    </x:row>
    <x:row r="17">
      <x:c r="A17" s="14" t="str">
        <x:v>B-08</x:v>
      </x:c>
      <x:c r="B17" s="3" t="str">
        <x:v>Jira → Miro</x:v>
      </x:c>
      <x:c r="C17" s="3" t="str">
        <x:v>Status-only webhook</x:v>
      </x:c>
      <x:c r="D17" s="4" t="str">
        <x:v>Endre kun status i Jira.</x:v>
      </x:c>
      <x:c r="E17" s="4" t="str">
        <x:v>Kortet flyttes uten unødvendig SVG-refresh.</x:v>
      </x:c>
      <x:c r="F17" s="4" t="str">
        <x:v>Cloudflare: webhook godkjent med 202, queue-behandling avsluttet uten feil. Detaljert refreshSkipped-logg er fjernet, så dette bekreftes også mot kortets innhold/utseende.</x:v>
      </x:c>
      <x:c r="G17" s="3" t="str">
        <x:v>Bestått</x:v>
      </x:c>
      <x:c r="H17" s="3" t="str">
        <x:v>Terje</x:v>
      </x:c>
      <x:c r="I17" s="5" t="n">
        <x:v>46274.5</x:v>
      </x:c>
      <x:c r="J17" s="4" t="str"/>
    </x:row>
    <x:row r="18">
      <x:c r="A18" s="14" t="str">
        <x:v>B-09</x:v>
      </x:c>
      <x:c r="B18" s="3" t="str">
        <x:v>Jira → Miro</x:v>
      </x:c>
      <x:c r="C18" s="3" t="str">
        <x:v>Summary-refresh</x:v>
      </x:c>
      <x:c r="D18" s="4" t="str">
        <x:v>Endre Summary i Jira.</x:v>
      </x:c>
      <x:c r="E18" s="4" t="str">
        <x:v>Eksisterende custom-card oppdateres med ny tekst uten ny card.</x:v>
      </x:c>
      <x:c r="F18" s="4" t="str">
        <x:v>Miro-card</x:v>
      </x:c>
      <x:c r="G18" s="3" t="str">
        <x:v>Bestått</x:v>
      </x:c>
      <x:c r="H18" s="3" t="str">
        <x:v>Terje</x:v>
      </x:c>
      <x:c r="I18" s="5" t="n">
        <x:v>46274.5</x:v>
      </x:c>
      <x:c r="J18" s="4" t="str">
        <x:v>Godkjent av bruker uten separat manuell test.</x:v>
      </x:c>
    </x:row>
    <x:row r="19">
      <x:c r="A19" s="14" t="str">
        <x:v>B-10</x:v>
      </x:c>
      <x:c r="B19" s="3" t="str">
        <x:v>Jira → Miro</x:v>
      </x:c>
      <x:c r="C19" s="3" t="str">
        <x:v>Priority-refresh</x:v>
      </x:c>
      <x:c r="D19" s="4" t="str">
        <x:v>Endre Priority i Jira.</x:v>
      </x:c>
      <x:c r="E19" s="4" t="str">
        <x:v>Eksisterende card oppdateres med riktig prioritetsvisning.</x:v>
      </x:c>
      <x:c r="F19" s="4" t="str">
        <x:v>Miro-card</x:v>
      </x:c>
      <x:c r="G19" s="3" t="str">
        <x:v>Bestått</x:v>
      </x:c>
      <x:c r="H19" s="3" t="str">
        <x:v>Terje</x:v>
      </x:c>
      <x:c r="I19" s="5" t="n">
        <x:v>46274.5</x:v>
      </x:c>
      <x:c r="J19" s="4" t="str">
        <x:v>Godkjent av bruker uten separat manuell test.</x:v>
      </x:c>
    </x:row>
    <x:row r="20">
      <x:c r="A20" s="14" t="str">
        <x:v>B-11</x:v>
      </x:c>
      <x:c r="B20" s="3" t="str">
        <x:v>Jira → Miro</x:v>
      </x:c>
      <x:c r="C20" s="3" t="str">
        <x:v>Assignee-refresh</x:v>
      </x:c>
      <x:c r="D20" s="4" t="str">
        <x:v>Endre Assignee i Jira.</x:v>
      </x:c>
      <x:c r="E20" s="4" t="str">
        <x:v>Eksisterende card viser riktig assignee eller fallback.</x:v>
      </x:c>
      <x:c r="F20" s="4" t="str">
        <x:v>Miro-card</x:v>
      </x:c>
      <x:c r="G20" s="3" t="str">
        <x:v>Bestått</x:v>
      </x:c>
      <x:c r="H20" s="3" t="str">
        <x:v>Terje</x:v>
      </x:c>
      <x:c r="I20" s="5" t="n">
        <x:v>46274.5</x:v>
      </x:c>
      <x:c r="J20" s="4" t="str">
        <x:v>Godkjent av bruker uten separat manuell test.</x:v>
      </x:c>
    </x:row>
    <x:row r="21">
      <x:c r="A21" s="14" t="str">
        <x:v>B-12</x:v>
      </x:c>
      <x:c r="B21" s="3" t="str">
        <x:v>Jira → Miro</x:v>
      </x:c>
      <x:c r="C21" s="3" t="str">
        <x:v>Kommentarindikator</x:v>
      </x:c>
      <x:c r="D21" s="4" t="str">
        <x:v>Legg til Jira-kommentar på en synket sak.</x:v>
      </x:c>
      <x:c r="E21" s="4" t="str">
        <x:v>Kommentarindikator opprettes eller oppdateres med riktig antall.</x:v>
      </x:c>
      <x:c r="F21" s="4" t="str">
        <x:v>Miro-board</x:v>
      </x:c>
      <x:c r="G21" s="3" t="str">
        <x:v>Bestått</x:v>
      </x:c>
      <x:c r="H21" s="3" t="str">
        <x:v>Terje</x:v>
      </x:c>
      <x:c r="I21" s="5" t="n">
        <x:v>46274.5</x:v>
      </x:c>
      <x:c r="J21" s="4" t="str">
        <x:v>Godkjent av bruker uten separat manuell test.</x:v>
      </x:c>
    </x:row>
    <x:row r="22">
      <x:c r="A22" s="14" t="str">
        <x:v>B-13</x:v>
      </x:c>
      <x:c r="B22" s="3" t="str">
        <x:v>Jira → Miro</x:v>
      </x:c>
      <x:c r="C22" s="3" t="str">
        <x:v>Kommentar slettes</x:v>
      </x:c>
      <x:c r="D22" s="4" t="str">
        <x:v>Slett én av flere kommentarer og slett deretter alle kommentarer.</x:v>
      </x:c>
      <x:c r="E22" s="4" t="str">
        <x:v>Indikatoren skal oppdateres til riktig antall og forsvinne når ingen kommentarer gjenstår.</x:v>
      </x:c>
      <x:c r="F22" s="4" t="str">
        <x:v>Brev-ikonet oppdaterte antallet etter sletting og forsvant da siste kommentar ble slettet.</x:v>
      </x:c>
      <x:c r="G22" s="3" t="str">
        <x:v>Bestått</x:v>
      </x:c>
      <x:c r="H22" s="3" t="str">
        <x:v>Terje</x:v>
      </x:c>
      <x:c r="I22" s="5" t="n">
        <x:v>46274.5</x:v>
      </x:c>
      <x:c r="J22" s="4" t="str">
        <x:v>Jira comment_deleted-webhook lagt til og verifisert.</x:v>
      </x:c>
    </x:row>
    <x:row r="23">
      <x:c r="A23" s="14" t="str">
        <x:v>B-14</x:v>
      </x:c>
      <x:c r="B23" s="3" t="str">
        <x:v>Jira → Miro</x:v>
      </x:c>
      <x:c r="C23" s="3" t="str">
        <x:v>Ukjent webhook-format</x:v>
      </x:c>
      <x:c r="D23" s="4" t="str">
        <x:v>Send payload uten tydelig changedFields/changelog.</x:v>
      </x:c>
      <x:c r="E23" s="4" t="str">
        <x:v>Full refresh brukes som fallback, og card blir korrekt oppdatert.</x:v>
      </x:c>
      <x:c r="F23" s="4" t="str">
        <x:v>Webhook ble godtatt, full refresh gjennomført uten feil, og ingen duplikat-card oppstod.</x:v>
      </x:c>
      <x:c r="G23" s="3" t="str">
        <x:v>Bestått</x:v>
      </x:c>
      <x:c r="H23" s="3" t="str">
        <x:v>Terje</x:v>
      </x:c>
      <x:c r="I23" s="5" t="n">
        <x:v>46274.5</x:v>
      </x:c>
      <x:c r="J23" s="4" t="str"/>
    </x:row>
    <x:row r="24">
      <x:c r="A24" s="14" t="str">
        <x:v>B-15</x:v>
      </x:c>
      <x:c r="B24" s="3" t="str">
        <x:v>Jira → Miro</x:v>
      </x:c>
      <x:c r="C24" s="3" t="str">
        <x:v>Mangler Miro-card</x:v>
      </x:c>
      <x:c r="D24" s="4" t="str">
        <x:v>Fjern eller ugyldiggjør en mapping og send statusendring.</x:v>
      </x:c>
      <x:c r="E24" s="4" t="str">
        <x:v>Stale mapping håndteres, og én ny Incoming-card opprettes.</x:v>
      </x:c>
      <x:c r="F24" s="4" t="str">
        <x:v>Stale mapping ble fjernet, ett nytt custom-kort ble opprettet i Incoming, og ingen duplikat oppstod.</x:v>
      </x:c>
      <x:c r="G24" s="3" t="str">
        <x:v>Bestått</x:v>
      </x:c>
      <x:c r="H24" s="3" t="str">
        <x:v>Terje</x:v>
      </x:c>
      <x:c r="I24" s="5" t="n">
        <x:v>46274.5</x:v>
      </x:c>
      <x:c r="J24" s="4" t="str"/>
    </x:row>
    <x:row r="25">
      <x:c r="A25" s="14" t="str">
        <x:v>B-16</x:v>
      </x:c>
      <x:c r="B25" s="3" t="str">
        <x:v>Jira → Miro</x:v>
      </x:c>
      <x:c r="C25" s="3" t="str">
        <x:v>Retry etter feil</x:v>
      </x:c>
      <x:c r="D25" s="4" t="str">
        <x:v>Simuler eller fremprovoser midlertidig ekstern 5xx og la webhook retry.</x:v>
      </x:c>
      <x:c r="E25" s="4" t="str">
        <x:v>Sync fullføres uten duplikat eller feil status.</x:v>
      </x:c>
      <x:c r="F25" s="4" t="str">
        <x:v>Cloudflare queue</x:v>
      </x:c>
      <x:c r="G25" s="3" t="str">
        <x:v>Bestått</x:v>
      </x:c>
      <x:c r="H25" s="3" t="str">
        <x:v>Terje</x:v>
      </x:c>
      <x:c r="I25" s="5" t="n">
        <x:v>46274.5</x:v>
      </x:c>
      <x:c r="J25" s="4" t="str">
        <x:v>Godkjent av bruker uten separat manuell test.</x:v>
      </x:c>
    </x:row>
    <x:row r="26">
      <x:c r="A26" s="14" t="str">
        <x:v>B-17</x:v>
      </x:c>
      <x:c r="B26" s="3" t="str">
        <x:v>Jira → Miro</x:v>
      </x:c>
      <x:c r="C26" s="3" t="str">
        <x:v>Rask gjentatt status</x:v>
      </x:c>
      <x:c r="D26" s="4" t="str">
        <x:v>Endre status to ganger innen 60 sekunder.</x:v>
      </x:c>
      <x:c r="E26" s="4" t="str">
        <x:v>Andre kall bruker validert parent-cache når samme Worker-instans brukes. Sync-resultatet er fortsatt korrekt.</x:v>
      </x:c>
      <x:c r="F26" s="4" t="str">
        <x:v>Cloudflare logs og Miro-board</x:v>
      </x:c>
      <x:c r="G26" s="3" t="str">
        <x:v>Bestått</x:v>
      </x:c>
      <x:c r="H26" s="3" t="str">
        <x:v>Terje</x:v>
      </x:c>
      <x:c r="I26" s="5" t="n">
        <x:v>46274.5</x:v>
      </x:c>
      <x:c r="J26" s="4" t="str">
        <x:v>Godkjent av bruker uten separat manuell test.</x:v>
      </x:c>
    </x:row>
    <x:row r="27">
      <x:c r="A27" s="14" t="str">
        <x:v>C-01</x:v>
      </x:c>
      <x:c r="B27" s="3" t="str">
        <x:v>Miro → Jira</x:v>
      </x:c>
      <x:c r="C27" s="3" t="str">
        <x:v>Native Jira-card drag</x:v>
      </x:c>
      <x:c r="D27" s="4" t="str">
        <x:v>Dra en native Jira-card til hver godkjente kolonne.</x:v>
      </x:c>
      <x:c r="E27" s="4" t="str">
        <x:v>Jira-status følger kortets kolonne.</x:v>
      </x:c>
      <x:c r="F27" s="4" t="str">
        <x:v>Ikke relevant: løsningen bruker kun custom cards.</x:v>
      </x:c>
      <x:c r="G27" s="3" t="str">
        <x:v>Ikke relevant</x:v>
      </x:c>
      <x:c r="H27" s="3" t="str">
        <x:v>Terje</x:v>
      </x:c>
      <x:c r="I27" s="5" t="n">
        <x:v>46274.5</x:v>
      </x:c>
      <x:c r="J27" s="4" t="str"/>
    </x:row>
    <x:row r="28">
      <x:c r="A28" s="14" t="str">
        <x:v>C-02</x:v>
      </x:c>
      <x:c r="B28" s="3" t="str">
        <x:v>Miro → Jira</x:v>
      </x:c>
      <x:c r="C28" s="3" t="str">
        <x:v>Custom-card drag</x:v>
      </x:c>
      <x:c r="D28" s="4" t="str">
        <x:v>Dra en custom-card til hver godkjente kolonne.</x:v>
      </x:c>
      <x:c r="E28" s="4" t="str">
        <x:v>Jira-status følger kortets kolonne.</x:v>
      </x:c>
      <x:c r="F28" s="4" t="str">
        <x:v>Jira-status</x:v>
      </x:c>
      <x:c r="G28" s="3" t="str">
        <x:v>Bestått</x:v>
      </x:c>
      <x:c r="H28" s="3" t="str">
        <x:v>Terje</x:v>
      </x:c>
      <x:c r="I28" s="5" t="n">
        <x:v>46274.5</x:v>
      </x:c>
      <x:c r="J28" s="4" t="str">
        <x:v>Godkjent av bruker uten separat manuell test.</x:v>
      </x:c>
    </x:row>
    <x:row r="29">
      <x:c r="A29" s="14" t="str">
        <x:v>C-03</x:v>
      </x:c>
      <x:c r="B29" s="3" t="str">
        <x:v>Miro → Jira</x:v>
      </x:c>
      <x:c r="C29" s="3" t="str">
        <x:v>Under 60 prosent</x:v>
      </x:c>
      <x:c r="D29" s="4" t="str">
        <x:v>Plasser kortet slik at ingen kolonne har minst 60 % overlap.</x:v>
      </x:c>
      <x:c r="E29" s="4" t="str">
        <x:v>Ingen Jira-status endres.</x:v>
      </x:c>
      <x:c r="F29" s="4" t="str">
        <x:v>Jira-status og Miro-posisjon</x:v>
      </x:c>
      <x:c r="G29" s="3" t="str">
        <x:v>Bestått</x:v>
      </x:c>
      <x:c r="H29" s="3" t="str">
        <x:v>Terje</x:v>
      </x:c>
      <x:c r="I29" s="5" t="n">
        <x:v>46274.5</x:v>
      </x:c>
      <x:c r="J29" s="4" t="str">
        <x:v>Godkjent av bruker uten separat manuell test.</x:v>
      </x:c>
    </x:row>
    <x:row r="30">
      <x:c r="A30" s="14" t="str">
        <x:v>C-04</x:v>
      </x:c>
      <x:c r="B30" s="3" t="str">
        <x:v>Miro → Jira</x:v>
      </x:c>
      <x:c r="C30" s="3" t="str">
        <x:v>På 60 prosent</x:v>
      </x:c>
      <x:c r="D30" s="4" t="str">
        <x:v>Plasser kortet på grensen for 60 % overlap.</x:v>
      </x:c>
      <x:c r="E30" s="4" t="str">
        <x:v>Riktig kolonne velges og Jira-status oppdateres.</x:v>
      </x:c>
      <x:c r="F30" s="4" t="str">
        <x:v>Jira-status</x:v>
      </x:c>
      <x:c r="G30" s="3" t="str">
        <x:v>Bestått</x:v>
      </x:c>
      <x:c r="H30" s="3" t="str">
        <x:v>Terje</x:v>
      </x:c>
      <x:c r="I30" s="5" t="n">
        <x:v>46274.5</x:v>
      </x:c>
      <x:c r="J30" s="4" t="str">
        <x:v>Godkjent av bruker uten separat manuell test.</x:v>
      </x:c>
    </x:row>
    <x:row r="31">
      <x:c r="A31" s="14" t="str">
        <x:v>C-05</x:v>
      </x:c>
      <x:c r="B31" s="3" t="str">
        <x:v>Miro → Jira</x:v>
      </x:c>
      <x:c r="C31" s="3" t="str">
        <x:v>Y-posisjon ved Jira-sync</x:v>
      </x:c>
      <x:c r="D31" s="4" t="str">
        <x:v>Dra kortet horisontalt mellom kolonner.</x:v>
      </x:c>
      <x:c r="E31" s="4" t="str">
        <x:v>Jira-endringen flytter kortet tilbake til riktig kolonne uten uventet Y-endring.</x:v>
      </x:c>
      <x:c r="F31" s="4" t="str">
        <x:v>Før/etter-posisjon</x:v>
      </x:c>
      <x:c r="G31" s="3" t="str">
        <x:v>Bestått</x:v>
      </x:c>
      <x:c r="H31" s="3" t="str">
        <x:v>Terje</x:v>
      </x:c>
      <x:c r="I31" s="5" t="n">
        <x:v>46274.5</x:v>
      </x:c>
      <x:c r="J31" s="4" t="str">
        <x:v>Godkjent av bruker uten separat manuell test.</x:v>
      </x:c>
    </x:row>
    <x:row r="32">
      <x:c r="A32" s="14" t="str">
        <x:v>C-06</x:v>
      </x:c>
      <x:c r="B32" s="3" t="str">
        <x:v>Miro → Jira</x:v>
      </x:c>
      <x:c r="C32" s="3" t="str">
        <x:v>Utenfor workflow</x:v>
      </x:c>
      <x:c r="D32" s="4" t="str">
        <x:v>Dra kortet utenfor workflow-området.</x:v>
      </x:c>
      <x:c r="E32" s="4" t="str">
        <x:v>Ingen ugyldig status sendes til Jira.</x:v>
      </x:c>
      <x:c r="F32" s="4" t="str">
        <x:v>Jira-status</x:v>
      </x:c>
      <x:c r="G32" s="3" t="str">
        <x:v>Bestått</x:v>
      </x:c>
      <x:c r="H32" s="3" t="str">
        <x:v>Terje</x:v>
      </x:c>
      <x:c r="I32" s="5" t="n">
        <x:v>46274.5</x:v>
      </x:c>
      <x:c r="J32" s="4" t="str">
        <x:v>Godkjent av bruker uten separat manuell test.</x:v>
      </x:c>
    </x:row>
    <x:row r="33">
      <x:c r="A33" s="14" t="str">
        <x:v>C-07</x:v>
      </x:c>
      <x:c r="B33" s="3" t="str">
        <x:v>Miro → Jira</x:v>
      </x:c>
      <x:c r="C33" s="3" t="str">
        <x:v>Jira-avvisning og rollback</x:v>
      </x:c>
      <x:c r="D33" s="4" t="str">
        <x:v>Utfør en overgang Jira skal avvise.</x:v>
      </x:c>
      <x:c r="E33" s="4" t="str">
        <x:v>Kortet rulles tilbake til forrige posisjon og bruker får feilmelding.</x:v>
      </x:c>
      <x:c r="F33" s="4" t="str">
        <x:v>Miro-board og UI</x:v>
      </x:c>
      <x:c r="G33" s="3" t="str">
        <x:v>Bestått</x:v>
      </x:c>
      <x:c r="H33" s="3" t="str">
        <x:v>Terje</x:v>
      </x:c>
      <x:c r="I33" s="5" t="n">
        <x:v>46274.5</x:v>
      </x:c>
      <x:c r="J33" s="4" t="str">
        <x:v>Godkjent av bruker uten separat manuell test.</x:v>
      </x:c>
    </x:row>
    <x:row r="34">
      <x:c r="A34" s="14" t="str">
        <x:v>C-08</x:v>
      </x:c>
      <x:c r="B34" s="3" t="str">
        <x:v>Miro → Jira</x:v>
      </x:c>
      <x:c r="C34" s="3" t="str">
        <x:v>Functional Review uten Test area</x:v>
      </x:c>
      <x:c r="D34" s="4" t="str">
        <x:v>Forsøk å flytte til Functional Review med tomt Test area-felt.</x:v>
      </x:c>
      <x:c r="E34" s="4" t="str">
        <x:v>Jira avviser overgangen, Miro rulles tilbake, og tydelig melding vises.</x:v>
      </x:c>
      <x:c r="F34" s="4" t="str">
        <x:v>Jira og Miro UI</x:v>
      </x:c>
      <x:c r="G34" s="3" t="str">
        <x:v>Bestått</x:v>
      </x:c>
      <x:c r="H34" s="3" t="str">
        <x:v>Terje</x:v>
      </x:c>
      <x:c r="I34" s="5" t="n">
        <x:v>46274.5</x:v>
      </x:c>
      <x:c r="J34" s="4" t="str">
        <x:v>Godkjent av bruker uten separat manuell test.</x:v>
      </x:c>
    </x:row>
    <x:row r="35">
      <x:c r="A35" s="14" t="str">
        <x:v>C-09</x:v>
      </x:c>
      <x:c r="B35" s="3" t="str">
        <x:v>Miro → Jira</x:v>
      </x:c>
      <x:c r="C35" s="3" t="str">
        <x:v>Functional Review med Test area</x:v>
      </x:c>
      <x:c r="D35" s="4" t="str">
        <x:v>Fyll Test area og flytt til Functional Review.</x:v>
      </x:c>
      <x:c r="E35" s="4" t="str">
        <x:v>Overgangen godtas og kortet blir stående i riktig kolonne.</x:v>
      </x:c>
      <x:c r="F35" s="4" t="str">
        <x:v>Jira og Miro UI</x:v>
      </x:c>
      <x:c r="G35" s="3" t="str">
        <x:v>Bestått</x:v>
      </x:c>
      <x:c r="H35" s="3" t="str">
        <x:v>Terje</x:v>
      </x:c>
      <x:c r="I35" s="5" t="n">
        <x:v>46274.5</x:v>
      </x:c>
      <x:c r="J35" s="4" t="str">
        <x:v>Godkjent av bruker uten separat manuell test.</x:v>
      </x:c>
    </x:row>
    <x:row r="36">
      <x:c r="A36" s="14" t="str">
        <x:v>C-10</x:v>
      </x:c>
      <x:c r="B36" s="3" t="str">
        <x:v>Miro → Jira</x:v>
      </x:c>
      <x:c r="C36" s="3" t="str">
        <x:v>Kollisjon mellom kort</x:v>
      </x:c>
      <x:c r="D36" s="4" t="str">
        <x:v>Flytt et kort til en kolonne der målposisjonen er opptatt.</x:v>
      </x:c>
      <x:c r="E36" s="4" t="str">
        <x:v>Kortet plasseres innenfor kolonnen uten å dekke et annet Jira-kort.</x:v>
      </x:c>
      <x:c r="F36" s="4" t="str">
        <x:v>Miro-board</x:v>
      </x:c>
      <x:c r="G36" s="3" t="str">
        <x:v>Bestått</x:v>
      </x:c>
      <x:c r="H36" s="3" t="str">
        <x:v>Terje</x:v>
      </x:c>
      <x:c r="I36" s="5" t="n">
        <x:v>46274.5</x:v>
      </x:c>
      <x:c r="J36" s="4" t="str">
        <x:v>Godkjent av bruker uten separat manuell test.</x:v>
      </x:c>
    </x:row>
    <x:row r="37">
      <x:c r="A37" s="14" t="str">
        <x:v>C-11</x:v>
      </x:c>
      <x:c r="B37" s="3" t="str">
        <x:v>Miro → Jira</x:v>
      </x:c>
      <x:c r="C37" s="3" t="str">
        <x:v>Debounce</x:v>
      </x:c>
      <x:c r="D37" s="4" t="str">
        <x:v>Dra samme kort flere ganger raskt.</x:v>
      </x:c>
      <x:c r="E37" s="4" t="str">
        <x:v>Kun siste stabile posisjon behandles, og ingen ekstra feilstatus sendes.</x:v>
      </x:c>
      <x:c r="F37" s="4" t="str">
        <x:v>Jira-status og nettverk</x:v>
      </x:c>
      <x:c r="G37" s="3" t="str">
        <x:v>Bestått</x:v>
      </x:c>
      <x:c r="H37" s="3" t="str">
        <x:v>Terje</x:v>
      </x:c>
      <x:c r="I37" s="5" t="n">
        <x:v>46274.5</x:v>
      </x:c>
      <x:c r="J37" s="4" t="str">
        <x:v>Godkjent av bruker uten separat manuell test.</x:v>
      </x:c>
    </x:row>
    <x:row r="38">
      <x:c r="A38" s="14" t="str">
        <x:v>C-12</x:v>
      </x:c>
      <x:c r="B38" s="3" t="str">
        <x:v>Miro → Jira</x:v>
      </x:c>
      <x:c r="C38" s="3" t="str">
        <x:v>Kommentarer åpnes</x:v>
      </x:c>
      <x:c r="D38" s="4" t="str">
        <x:v>Klikk kommentarindikator eller kortmeny og åpne kommentarer.</x:v>
      </x:c>
      <x:c r="E38" s="4" t="str">
        <x:v>Modal åpnes og viser riktige Jira-kommentarer.</x:v>
      </x:c>
      <x:c r="F38" s="4" t="str">
        <x:v>Miro UI</x:v>
      </x:c>
      <x:c r="G38" s="3" t="str">
        <x:v>Bestått</x:v>
      </x:c>
      <x:c r="H38" s="3" t="str">
        <x:v>Terje</x:v>
      </x:c>
      <x:c r="I38" s="5" t="n">
        <x:v>46274.5</x:v>
      </x:c>
      <x:c r="J38" s="4" t="str">
        <x:v>Godkjent av bruker uten separat manuell test.</x:v>
      </x:c>
    </x:row>
    <x:row r="39">
      <x:c r="A39" s="14" t="str">
        <x:v>C-13</x:v>
      </x:c>
      <x:c r="B39" s="3" t="str">
        <x:v>Miro → Jira</x:v>
      </x:c>
      <x:c r="C39" s="3" t="str">
        <x:v>Ny Miro-kommentar</x:v>
      </x:c>
      <x:c r="D39" s="4" t="str">
        <x:v>Skriv og send kommentar fra Miro.</x:v>
      </x:c>
      <x:c r="E39" s="4" t="str">
        <x:v>Kommentaren opprettes i riktig Jira-sak.</x:v>
      </x:c>
      <x:c r="F39" s="4" t="str">
        <x:v>Jira-kommentar</x:v>
      </x:c>
      <x:c r="G39" s="3" t="str">
        <x:v>Bestått</x:v>
      </x:c>
      <x:c r="H39" s="3" t="str">
        <x:v>Terje</x:v>
      </x:c>
      <x:c r="I39" s="5" t="n">
        <x:v>46274.5</x:v>
      </x:c>
      <x:c r="J39" s="4" t="str">
        <x:v>Godkjent av bruker uten separat manuell test.</x:v>
      </x:c>
    </x:row>
    <x:row r="40">
      <x:c r="A40" s="14" t="str">
        <x:v>D-01</x:v>
      </x:c>
      <x:c r="B40" s="3" t="str">
        <x:v>Sticky → Jira</x:v>
      </x:c>
      <x:c r="C40" s="3" t="str">
        <x:v>Én sticky utenfor workflow</x:v>
      </x:c>
      <x:c r="D40" s="4" t="str">
        <x:v>Velg én sticky utenfor workflow og konverter.</x:v>
      </x:c>
      <x:c r="E40" s="4" t="str">
        <x:v>Én Jira-sak opprettes med default-status, custom-card opprettes på eksakt posisjon, sticky fjernes etter suksess.</x:v>
      </x:c>
      <x:c r="F40" s="4" t="str">
        <x:v>Jira og Miro-board</x:v>
      </x:c>
      <x:c r="G40" s="3" t="str">
        <x:v>Bestått</x:v>
      </x:c>
      <x:c r="H40" s="3" t="str">
        <x:v>Terje</x:v>
      </x:c>
      <x:c r="I40" s="5" t="n">
        <x:v>46274.5</x:v>
      </x:c>
      <x:c r="J40" s="4" t="str">
        <x:v>Godkjent av bruker uten separat manuell test.</x:v>
      </x:c>
    </x:row>
    <x:row r="41">
      <x:c r="A41" s="14" t="str">
        <x:v>D-02</x:v>
      </x:c>
      <x:c r="B41" s="3" t="str">
        <x:v>Sticky → Jira</x:v>
      </x:c>
      <x:c r="C41" s="3" t="str">
        <x:v>Sticky i Todo</x:v>
      </x:c>
      <x:c r="D41" s="4" t="str">
        <x:v>Konverter sticky plassert i Todo-kolonnen.</x:v>
      </x:c>
      <x:c r="E41" s="4" t="str">
        <x:v>Jira-sak får Todo-status og card beholder eksakt posisjon.</x:v>
      </x:c>
      <x:c r="F41" s="4" t="str">
        <x:v>Jira og Miro-board</x:v>
      </x:c>
      <x:c r="G41" s="3" t="str">
        <x:v>Bestått</x:v>
      </x:c>
      <x:c r="H41" s="3" t="str">
        <x:v>Terje</x:v>
      </x:c>
      <x:c r="I41" s="5" t="n">
        <x:v>46274.5</x:v>
      </x:c>
      <x:c r="J41" s="4" t="str">
        <x:v>Godkjent av bruker uten separat manuell test.</x:v>
      </x:c>
    </x:row>
    <x:row r="42">
      <x:c r="A42" s="14" t="str">
        <x:v>D-03</x:v>
      </x:c>
      <x:c r="B42" s="3" t="str">
        <x:v>Sticky → Jira</x:v>
      </x:c>
      <x:c r="C42" s="3" t="str">
        <x:v>Sticky i In Progress</x:v>
      </x:c>
      <x:c r="D42" s="4" t="str">
        <x:v>Konverter sticky plassert i In Progress-kolonnen.</x:v>
      </x:c>
      <x:c r="E42" s="4" t="str">
        <x:v>Jira-sak får In Progress-status.</x:v>
      </x:c>
      <x:c r="F42" s="4" t="str">
        <x:v>Jira og Miro-board</x:v>
      </x:c>
      <x:c r="G42" s="3" t="str">
        <x:v>Bestått</x:v>
      </x:c>
      <x:c r="H42" s="3" t="str">
        <x:v>Terje</x:v>
      </x:c>
      <x:c r="I42" s="5" t="n">
        <x:v>46274.5</x:v>
      </x:c>
      <x:c r="J42" s="4" t="str">
        <x:v>Godkjent av bruker uten separat manuell test.</x:v>
      </x:c>
    </x:row>
    <x:row r="43">
      <x:c r="A43" s="14" t="str">
        <x:v>D-04</x:v>
      </x:c>
      <x:c r="B43" s="3" t="str">
        <x:v>Sticky → Jira</x:v>
      </x:c>
      <x:c r="C43" s="3" t="str">
        <x:v>Sticky i Code Review</x:v>
      </x:c>
      <x:c r="D43" s="4" t="str">
        <x:v>Konverter sticky plassert i Code Review-kolonnen.</x:v>
      </x:c>
      <x:c r="E43" s="4" t="str">
        <x:v>Jira-sak får Code Review-status.</x:v>
      </x:c>
      <x:c r="F43" s="4" t="str">
        <x:v>Jira og Miro-board</x:v>
      </x:c>
      <x:c r="G43" s="3" t="str">
        <x:v>Bestått</x:v>
      </x:c>
      <x:c r="H43" s="3" t="str">
        <x:v>Terje</x:v>
      </x:c>
      <x:c r="I43" s="5" t="n">
        <x:v>46274.5</x:v>
      </x:c>
      <x:c r="J43" s="4" t="str">
        <x:v>Godkjent av bruker uten separat manuell test.</x:v>
      </x:c>
    </x:row>
    <x:row r="44">
      <x:c r="A44" s="14" t="str">
        <x:v>D-05</x:v>
      </x:c>
      <x:c r="B44" s="3" t="str">
        <x:v>Sticky → Jira</x:v>
      </x:c>
      <x:c r="C44" s="3" t="str">
        <x:v>Sticky i Functional Review</x:v>
      </x:c>
      <x:c r="D44" s="4" t="str">
        <x:v>Konverter sticky plassert i Functional Review med Test area tilgjengelig.</x:v>
      </x:c>
      <x:c r="E44" s="4" t="str">
        <x:v>Jira-sak får Functional Review-status.</x:v>
      </x:c>
      <x:c r="F44" s="4" t="str">
        <x:v>Jira og Miro-board</x:v>
      </x:c>
      <x:c r="G44" s="3" t="str">
        <x:v>Bestått</x:v>
      </x:c>
      <x:c r="H44" s="3" t="str">
        <x:v>Terje</x:v>
      </x:c>
      <x:c r="I44" s="5" t="n">
        <x:v>46274.5</x:v>
      </x:c>
      <x:c r="J44" s="4" t="str">
        <x:v>Godkjent av bruker uten separat manuell test.</x:v>
      </x:c>
    </x:row>
    <x:row r="45">
      <x:c r="A45" s="14" t="str">
        <x:v>D-06</x:v>
      </x:c>
      <x:c r="B45" s="3" t="str">
        <x:v>Sticky → Jira</x:v>
      </x:c>
      <x:c r="C45" s="3" t="str">
        <x:v>Sticky i Done</x:v>
      </x:c>
      <x:c r="D45" s="4" t="str">
        <x:v>Konverter sticky plassert i Done-kolonnen.</x:v>
      </x:c>
      <x:c r="E45" s="4" t="str">
        <x:v>Jira-sak får Done-status.</x:v>
      </x:c>
      <x:c r="F45" s="4" t="str">
        <x:v>Jira og Miro-board</x:v>
      </x:c>
      <x:c r="G45" s="3" t="str">
        <x:v>Bestått</x:v>
      </x:c>
      <x:c r="H45" s="3" t="str">
        <x:v>Terje</x:v>
      </x:c>
      <x:c r="I45" s="5" t="n">
        <x:v>46274.5</x:v>
      </x:c>
      <x:c r="J45" s="4" t="str">
        <x:v>Godkjent av bruker uten separat manuell test.</x:v>
      </x:c>
    </x:row>
    <x:row r="46">
      <x:c r="A46" s="14" t="str">
        <x:v>D-07</x:v>
      </x:c>
      <x:c r="B46" s="3" t="str">
        <x:v>Sticky → Jira</x:v>
      </x:c>
      <x:c r="C46" s="3" t="str">
        <x:v>Work type Bug</x:v>
      </x:c>
      <x:c r="D46" s="4" t="str">
        <x:v>Konverter en sticky med Bug-farge.</x:v>
      </x:c>
      <x:c r="E46" s="4" t="str">
        <x:v>Jira-sak opprettes som Bug med riktige defaults.</x:v>
      </x:c>
      <x:c r="F46" s="4" t="str">
        <x:v>Jira-sak</x:v>
      </x:c>
      <x:c r="G46" s="3" t="str">
        <x:v>Bestått</x:v>
      </x:c>
      <x:c r="H46" s="3" t="str">
        <x:v>Terje</x:v>
      </x:c>
      <x:c r="I46" s="5" t="n">
        <x:v>46274.5</x:v>
      </x:c>
      <x:c r="J46" s="4" t="str">
        <x:v>Godkjent av bruker uten separat manuell test.</x:v>
      </x:c>
    </x:row>
    <x:row r="47">
      <x:c r="A47" s="14" t="str">
        <x:v>D-08</x:v>
      </x:c>
      <x:c r="B47" s="3" t="str">
        <x:v>Sticky → Jira</x:v>
      </x:c>
      <x:c r="C47" s="3" t="str">
        <x:v>Work type Improvement</x:v>
      </x:c>
      <x:c r="D47" s="4" t="str">
        <x:v>Konverter en sticky med Improvement-farge.</x:v>
      </x:c>
      <x:c r="E47" s="4" t="str">
        <x:v>Jira-sak opprettes som Improvement med riktige defaults.</x:v>
      </x:c>
      <x:c r="F47" s="4" t="str">
        <x:v>Jira-sak</x:v>
      </x:c>
      <x:c r="G47" s="3" t="str">
        <x:v>Bestått</x:v>
      </x:c>
      <x:c r="H47" s="3" t="str">
        <x:v>Terje</x:v>
      </x:c>
      <x:c r="I47" s="5" t="n">
        <x:v>46274.5</x:v>
      </x:c>
      <x:c r="J47" s="4" t="str">
        <x:v>Godkjent av bruker uten separat manuell test.</x:v>
      </x:c>
    </x:row>
    <x:row r="48">
      <x:c r="A48" s="14" t="str">
        <x:v>D-09</x:v>
      </x:c>
      <x:c r="B48" s="3" t="str">
        <x:v>Sticky → Jira</x:v>
      </x:c>
      <x:c r="C48" s="3" t="str">
        <x:v>Work type New Feature</x:v>
      </x:c>
      <x:c r="D48" s="4" t="str">
        <x:v>Konverter en sticky med New Feature-farge.</x:v>
      </x:c>
      <x:c r="E48" s="4" t="str">
        <x:v>Jira-sak opprettes som New Feature med riktige defaults.</x:v>
      </x:c>
      <x:c r="F48" s="4" t="str">
        <x:v>Jira-sak</x:v>
      </x:c>
      <x:c r="G48" s="3" t="str">
        <x:v>Bestått</x:v>
      </x:c>
      <x:c r="H48" s="3" t="str">
        <x:v>Terje</x:v>
      </x:c>
      <x:c r="I48" s="5" t="n">
        <x:v>46274.5</x:v>
      </x:c>
      <x:c r="J48" s="4" t="str">
        <x:v>Godkjent av bruker uten separat manuell test.</x:v>
      </x:c>
    </x:row>
    <x:row r="49">
      <x:c r="A49" s="14" t="str">
        <x:v>D-10</x:v>
      </x:c>
      <x:c r="B49" s="3" t="str">
        <x:v>Sticky → Jira</x:v>
      </x:c>
      <x:c r="C49" s="3" t="str">
        <x:v>Work type Task/config/doc/test</x:v>
      </x:c>
      <x:c r="D49" s="4" t="str">
        <x:v>Konverter sticky som skal bli Task/config/doc/test.</x:v>
      </x:c>
      <x:c r="E49" s="4" t="str">
        <x:v>Riktig work type og obligatoriske felter brukes.</x:v>
      </x:c>
      <x:c r="F49" s="4" t="str">
        <x:v>Jira-sak</x:v>
      </x:c>
      <x:c r="G49" s="3" t="str">
        <x:v>Bestått</x:v>
      </x:c>
      <x:c r="H49" s="3" t="str">
        <x:v>Terje</x:v>
      </x:c>
      <x:c r="I49" s="5" t="n">
        <x:v>46274.5</x:v>
      </x:c>
      <x:c r="J49" s="4" t="str">
        <x:v>Godkjent av bruker uten separat manuell test.</x:v>
      </x:c>
    </x:row>
    <x:row r="50">
      <x:c r="A50" s="14" t="str">
        <x:v>D-11</x:v>
      </x:c>
      <x:c r="B50" s="3" t="str">
        <x:v>Sticky → Jira</x:v>
      </x:c>
      <x:c r="C50" s="3" t="str">
        <x:v>Reporter</x:v>
      </x:c>
      <x:c r="D50" s="4" t="str">
        <x:v>Konverter sticky opprettet av kjent Miro-bruker.</x:v>
      </x:c>
      <x:c r="E50" s="4" t="str">
        <x:v>Riktig Jira Reporter settes, med cache ved senere konvertering.</x:v>
      </x:c>
      <x:c r="F50" s="4" t="str">
        <x:v>Jira-sak</x:v>
      </x:c>
      <x:c r="G50" s="3" t="str">
        <x:v>Bestått</x:v>
      </x:c>
      <x:c r="H50" s="3" t="str">
        <x:v>Terje</x:v>
      </x:c>
      <x:c r="I50" s="5" t="n">
        <x:v>46274.5</x:v>
      </x:c>
      <x:c r="J50" s="4" t="str">
        <x:v>Godkjent av bruker uten separat manuell test.</x:v>
      </x:c>
    </x:row>
    <x:row r="51">
      <x:c r="A51" s="14" t="str">
        <x:v>D-12</x:v>
      </x:c>
      <x:c r="B51" s="3" t="str">
        <x:v>Sticky → Jira</x:v>
      </x:c>
      <x:c r="C51" s="3" t="str">
        <x:v>Original Miro created</x:v>
      </x:c>
      <x:c r="D51" s="4" t="str">
        <x:v>Konverter sticky og kontroller metadatafeltet.</x:v>
      </x:c>
      <x:c r="E51" s="4" t="str">
        <x:v>Original Miro-opprettelsestidspunkt lagres i Jira.</x:v>
      </x:c>
      <x:c r="F51" s="4" t="str">
        <x:v>Jira-sak</x:v>
      </x:c>
      <x:c r="G51" s="3" t="str">
        <x:v>Bestått</x:v>
      </x:c>
      <x:c r="H51" s="3" t="str">
        <x:v>Terje</x:v>
      </x:c>
      <x:c r="I51" s="5" t="n">
        <x:v>46274.5</x:v>
      </x:c>
      <x:c r="J51" s="4" t="str">
        <x:v>Godkjent av bruker uten separat manuell test.</x:v>
      </x:c>
    </x:row>
    <x:row r="52">
      <x:c r="A52" s="14" t="str">
        <x:v>D-13</x:v>
      </x:c>
      <x:c r="B52" s="3" t="str">
        <x:v>Sticky → Jira</x:v>
      </x:c>
      <x:c r="C52" s="3" t="str">
        <x:v>Idempotent retry</x:v>
      </x:c>
      <x:c r="D52" s="4" t="str">
        <x:v>Avbryt etter Jira-opprettelse og kjør samme konvertering på nytt.</x:v>
      </x:c>
      <x:c r="E52" s="4" t="str">
        <x:v>Samme Jira-sak gjenbrukes. Ingen duplikat opprettes.</x:v>
      </x:c>
      <x:c r="F52" s="4" t="str">
        <x:v>Jira og Miro-board</x:v>
      </x:c>
      <x:c r="G52" s="3" t="str">
        <x:v>Ikke testet</x:v>
      </x:c>
      <x:c r="H52" s="3" t="str"/>
      <x:c r="I52" s="5" t="str"/>
      <x:c r="J52" s="4" t="str"/>
    </x:row>
    <x:row r="53">
      <x:c r="A53" s="14" t="str">
        <x:v>D-14</x:v>
      </x:c>
      <x:c r="B53" s="3" t="str">
        <x:v>Sticky → Jira</x:v>
      </x:c>
      <x:c r="C53" s="3" t="str">
        <x:v>Sticky fjernes først etter suksess</x:v>
      </x:c>
      <x:c r="D53" s="4" t="str">
        <x:v>Simuler feil ved card-opprettelse eller Jira-overgang.</x:v>
      </x:c>
      <x:c r="E53" s="4" t="str">
        <x:v>Sticky beholdes, og brukeren får feilmelding.</x:v>
      </x:c>
      <x:c r="F53" s="4" t="str">
        <x:v>Miro-board og UI</x:v>
      </x:c>
      <x:c r="G53" s="3" t="str">
        <x:v>Ikke testet</x:v>
      </x:c>
      <x:c r="H53" s="3" t="str"/>
      <x:c r="I53" s="5" t="str"/>
      <x:c r="J53" s="4" t="str"/>
    </x:row>
    <x:row r="54">
      <x:c r="A54" s="14" t="str">
        <x:v>D-15</x:v>
      </x:c>
      <x:c r="B54" s="3" t="str">
        <x:v>Sticky → Jira</x:v>
      </x:c>
      <x:c r="C54" s="3" t="str">
        <x:v>Multi-select</x:v>
      </x:c>
      <x:c r="D54" s="4" t="str">
        <x:v>Velg flere stickies der én har feil data.</x:v>
      </x:c>
      <x:c r="E54" s="4" t="str">
        <x:v>Gyldige stickies konverteres, og én feil stopper ikke resten.</x:v>
      </x:c>
      <x:c r="F54" s="4" t="str">
        <x:v>Jira og Miro-board</x:v>
      </x:c>
      <x:c r="G54" s="3" t="str">
        <x:v>Bestått</x:v>
      </x:c>
      <x:c r="H54" s="3" t="str">
        <x:v>Terje</x:v>
      </x:c>
      <x:c r="I54" s="5" t="n">
        <x:v>46274.5</x:v>
      </x:c>
      <x:c r="J54" s="4" t="str">
        <x:v>Godkjent av bruker uten separat manuell test.</x:v>
      </x:c>
    </x:row>
    <x:row r="55">
      <x:c r="A55" s="14" t="str">
        <x:v>D-16</x:v>
      </x:c>
      <x:c r="B55" s="3" t="str">
        <x:v>Sticky → Jira</x:v>
      </x:c>
      <x:c r="C55" s="3" t="str">
        <x:v>Direkte Jira-sak samtidig</x:v>
      </x:c>
      <x:c r="D55" s="4" t="str">
        <x:v>Opprett Jira-sak direkte mens sticky-konvertering skjer.</x:v>
      </x:c>
      <x:c r="E55" s="4" t="str">
        <x:v>Direkte Jira-sak går til Incoming; sticky-opprinnelig sak lager ikke ekstra Incoming-card.</x:v>
      </x:c>
      <x:c r="F55" s="4" t="str">
        <x:v>Miro-board</x:v>
      </x:c>
      <x:c r="G55" s="3" t="str">
        <x:v>Bestått</x:v>
      </x:c>
      <x:c r="H55" s="3" t="str">
        <x:v>Terje</x:v>
      </x:c>
      <x:c r="I55" s="5" t="n">
        <x:v>46274.5</x:v>
      </x:c>
      <x:c r="J55" s="4" t="str">
        <x:v>Godkjent av bruker uten separat manuell test.</x:v>
      </x:c>
    </x:row>
    <x:row r="56">
      <x:c r="A56" s="14" t="str">
        <x:v>E-01</x:v>
      </x:c>
      <x:c r="B56" s="3" t="str">
        <x:v>Miro-app og UI</x:v>
      </x:c>
      <x:c r="C56" s="3" t="str">
        <x:v>App åpnes</x:v>
      </x:c>
      <x:c r="D56" s="4" t="str">
        <x:v>Åpne Miro-appen og klikk appikon/panel.</x:v>
      </x:c>
      <x:c r="E56" s="4" t="str">
        <x:v>Panel åpnes, eksisterende kort oppdages, og /health er tilgjengelig.</x:v>
      </x:c>
      <x:c r="F56" s="4" t="str">
        <x:v>Miro UI</x:v>
      </x:c>
      <x:c r="G56" s="3" t="str">
        <x:v>Bestått</x:v>
      </x:c>
      <x:c r="H56" s="3" t="str">
        <x:v>Terje</x:v>
      </x:c>
      <x:c r="I56" s="5" t="n">
        <x:v>46274.5</x:v>
      </x:c>
      <x:c r="J56" s="4" t="str">
        <x:v>Godkjent av bruker uten separat manuell test.</x:v>
      </x:c>
    </x:row>
    <x:row r="57">
      <x:c r="A57" s="14" t="str">
        <x:v>E-02</x:v>
      </x:c>
      <x:c r="B57" s="3" t="str">
        <x:v>Miro-app og UI</x:v>
      </x:c>
      <x:c r="C57" s="3" t="str">
        <x:v>Custom-card registrering</x:v>
      </x:c>
      <x:c r="D57" s="4" t="str">
        <x:v>Åpne board med eksisterende custom cards.</x:v>
      </x:c>
      <x:c r="E57" s="4" t="str">
        <x:v>Custom-card Jira-lenker og mappings registreres uten duplikat.</x:v>
      </x:c>
      <x:c r="F57" s="4" t="str">
        <x:v>Miro-board og CARD_MAP</x:v>
      </x:c>
      <x:c r="G57" s="3" t="str">
        <x:v>Bestått</x:v>
      </x:c>
      <x:c r="H57" s="3" t="str">
        <x:v>Terje</x:v>
      </x:c>
      <x:c r="I57" s="5" t="n">
        <x:v>46274.5</x:v>
      </x:c>
      <x:c r="J57" s="4" t="str">
        <x:v>Godkjent av bruker uten separat manuell test.</x:v>
      </x:c>
    </x:row>
    <x:row r="58">
      <x:c r="A58" s="14" t="str">
        <x:v>E-03</x:v>
      </x:c>
      <x:c r="B58" s="3" t="str">
        <x:v>Miro-app og UI</x:v>
      </x:c>
      <x:c r="C58" s="3" t="str">
        <x:v>Jira-link på native-card</x:v>
      </x:c>
      <x:c r="D58" s="4" t="str">
        <x:v>Klikk Jira-lenken på et native Jira-kort.</x:v>
      </x:c>
      <x:c r="E58" s="4" t="str">
        <x:v>Lenken åpner riktig Jira-sak i riktig site/prosjekt.</x:v>
      </x:c>
      <x:c r="F58" s="4" t="str">
        <x:v>Ikke relevant: løsningen bruker kun custom cards.</x:v>
      </x:c>
      <x:c r="G58" s="3" t="str">
        <x:v>Ikke relevant</x:v>
      </x:c>
      <x:c r="H58" s="3" t="str">
        <x:v>Terje</x:v>
      </x:c>
      <x:c r="I58" s="5" t="n">
        <x:v>46274.5</x:v>
      </x:c>
      <x:c r="J58" s="4" t="str"/>
    </x:row>
    <x:row r="59">
      <x:c r="A59" s="14" t="str">
        <x:v>E-04</x:v>
      </x:c>
      <x:c r="B59" s="3" t="str">
        <x:v>Miro-app og UI</x:v>
      </x:c>
      <x:c r="C59" s="3" t="str">
        <x:v>Jira-link på custom-card</x:v>
      </x:c>
      <x:c r="D59" s="4" t="str">
        <x:v>Klikk Jira-lenken på et custom-kort.</x:v>
      </x:c>
      <x:c r="E59" s="4" t="str">
        <x:v>Lenken åpner riktig Jira-sak i riktig site/prosjekt.</x:v>
      </x:c>
      <x:c r="F59" s="4" t="str">
        <x:v>Nettleser og Jira-URL</x:v>
      </x:c>
      <x:c r="G59" s="3" t="str">
        <x:v>Bestått</x:v>
      </x:c>
      <x:c r="H59" s="3" t="str">
        <x:v>Terje</x:v>
      </x:c>
      <x:c r="I59" s="5" t="n">
        <x:v>46274.5</x:v>
      </x:c>
      <x:c r="J59" s="4" t="str">
        <x:v>Godkjent av bruker uten separat manuell test.</x:v>
      </x:c>
    </x:row>
    <x:row r="60">
      <x:c r="A60" s="14" t="str">
        <x:v>E-05</x:v>
      </x:c>
      <x:c r="B60" s="3" t="str">
        <x:v>Miro-app og UI</x:v>
      </x:c>
      <x:c r="C60" s="3" t="str">
        <x:v>Jira-link etter refresh</x:v>
      </x:c>
      <x:c r="D60" s="4" t="str">
        <x:v>Refresh Miro, åpne boardet på nytt og klikk lenken på et custom-kort.</x:v>
      </x:c>
      <x:c r="E60" s="4" t="str">
        <x:v>Lenken er fortsatt til stede og peker til riktig Jira-sak.</x:v>
      </x:c>
      <x:c r="F60" s="4" t="str">
        <x:v>Miro-board og Jira-URL</x:v>
      </x:c>
      <x:c r="G60" s="3" t="str">
        <x:v>Bestått</x:v>
      </x:c>
      <x:c r="H60" s="3" t="str">
        <x:v>Terje</x:v>
      </x:c>
      <x:c r="I60" s="5" t="n">
        <x:v>46274.5</x:v>
      </x:c>
      <x:c r="J60" s="4" t="str">
        <x:v>Godkjent av bruker uten separat manuell test.</x:v>
      </x:c>
    </x:row>
    <x:row r="61">
      <x:c r="A61" s="14" t="str">
        <x:v>E-06</x:v>
      </x:c>
      <x:c r="B61" s="3" t="str">
        <x:v>Miro-app og UI</x:v>
      </x:c>
      <x:c r="C61" s="3" t="str">
        <x:v>Legacy group-opprydding</x:v>
      </x:c>
      <x:c r="D61" s="4" t="str">
        <x:v>Test av gammel native-card/grupperingslogikk.</x:v>
      </x:c>
      <x:c r="E61" s="4" t="str">
        <x:v>Ikke relevant: løsningen bruker kun custom cards.</x:v>
      </x:c>
      <x:c r="F61" s="4" t="str">
        <x:v>Ikke relevant: native Jira cards brukes ikke.</x:v>
      </x:c>
      <x:c r="G61" s="3" t="str">
        <x:v>Ikke relevant</x:v>
      </x:c>
      <x:c r="H61" s="3" t="str">
        <x:v>Terje</x:v>
      </x:c>
      <x:c r="I61" s="5" t="n">
        <x:v>46274.5</x:v>
      </x:c>
      <x:c r="J61" s="4" t="str"/>
    </x:row>
    <x:row r="62">
      <x:c r="A62" s="14" t="str">
        <x:v>E-07</x:v>
      </x:c>
      <x:c r="B62" s="3" t="str">
        <x:v>Miro-app og UI</x:v>
      </x:c>
      <x:c r="C62" s="3" t="str">
        <x:v>Kommentarindikator følger kort</x:v>
      </x:c>
      <x:c r="D62" s="4" t="str">
        <x:v>Test av gammel kort-/indikatorflyt.</x:v>
      </x:c>
      <x:c r="E62" s="4" t="str">
        <x:v>Ikke relevant: denne flyten inngår ikke i ønsket custom-card-testomfang.</x:v>
      </x:c>
      <x:c r="F62" s="4" t="str">
        <x:v>Ikke relevant: utenfor avtalt testomfang.</x:v>
      </x:c>
      <x:c r="G62" s="3" t="str">
        <x:v>Ikke relevant</x:v>
      </x:c>
      <x:c r="H62" s="3" t="str">
        <x:v>Terje</x:v>
      </x:c>
      <x:c r="I62" s="5" t="n">
        <x:v>46274.5</x:v>
      </x:c>
      <x:c r="J62" s="4" t="str"/>
    </x:row>
    <x:row r="63">
      <x:c r="A63" s="14" t="str">
        <x:v>E-08</x:v>
      </x:c>
      <x:c r="B63" s="3" t="str">
        <x:v>Miro-app og UI</x:v>
      </x:c>
      <x:c r="C63" s="3" t="str">
        <x:v>Kortmeny</x:v>
      </x:c>
      <x:c r="D63" s="4" t="str">
        <x:v>Åpne menyen på et Jira-kort og velg kommentarer/lukk.</x:v>
      </x:c>
      <x:c r="E63" s="4" t="str">
        <x:v>Riktig issueKey sendes til modal, og lukk fungerer.</x:v>
      </x:c>
      <x:c r="F63" s="4" t="str">
        <x:v>Miro UI</x:v>
      </x:c>
      <x:c r="G63" s="3" t="str">
        <x:v>Bestått</x:v>
      </x:c>
      <x:c r="H63" s="3" t="str">
        <x:v>Terje</x:v>
      </x:c>
      <x:c r="I63" s="5" t="n">
        <x:v>46274.5</x:v>
      </x:c>
      <x:c r="J63" s="4" t="str">
        <x:v>Godkjent av bruker uten separat manuell test.</x:v>
      </x:c>
    </x:row>
    <x:row r="64">
      <x:c r="A64" s="14" t="str">
        <x:v>F-01</x:v>
      </x:c>
      <x:c r="B64" s="3" t="str">
        <x:v>Reliabilitet</x:v>
      </x:c>
      <x:c r="C64" s="3" t="str">
        <x:v>Queue-forsinkelse</x:v>
      </x:c>
      <x:c r="D64" s="4" t="str">
        <x:v>Gjennomfør minst fem statusendringer og noter total tid.</x:v>
      </x:c>
      <x:c r="E64" s="4" t="str">
        <x:v>Webhook køres én gang per event, og ingen hendelser blir hengende.</x:v>
      </x:c>
      <x:c r="F64" s="4" t="str">
        <x:v>Cloudflare queue</x:v>
      </x:c>
      <x:c r="G64" s="3" t="str">
        <x:v>Bestått</x:v>
      </x:c>
      <x:c r="H64" s="3" t="str">
        <x:v>Terje</x:v>
      </x:c>
      <x:c r="I64" s="5" t="n">
        <x:v>46274.5</x:v>
      </x:c>
      <x:c r="J64" s="4" t="str">
        <x:v>Godkjent av bruker uten separat manuell test.</x:v>
      </x:c>
    </x:row>
    <x:row r="65">
      <x:c r="A65" s="14" t="str">
        <x:v>F-02</x:v>
      </x:c>
      <x:c r="B65" s="3" t="str">
        <x:v>Reliabilitet</x:v>
      </x:c>
      <x:c r="C65" s="3" t="str">
        <x:v>Tregt Miro-kall</x:v>
      </x:c>
      <x:c r="D65" s="4" t="str">
        <x:v>Gjennomfør statusendring når Miro svarer tregt.</x:v>
      </x:c>
      <x:c r="E65" s="4" t="str">
        <x:v>Sync feiler ikke stille; resultatet blir korrekt og retry gir ikke duplikat.</x:v>
      </x:c>
      <x:c r="F65" s="4" t="str">
        <x:v>Cloudflare og Miro-board</x:v>
      </x:c>
      <x:c r="G65" s="3" t="str">
        <x:v>Ikke testet</x:v>
      </x:c>
      <x:c r="H65" s="3" t="str"/>
      <x:c r="I65" s="5" t="str"/>
      <x:c r="J65" s="4" t="str"/>
    </x:row>
    <x:row r="66">
      <x:c r="A66" s="14" t="str">
        <x:v>F-03</x:v>
      </x:c>
      <x:c r="B66" s="3" t="str">
        <x:v>Reliabilitet</x:v>
      </x:c>
      <x:c r="C66" s="3" t="str">
        <x:v>HTTP 500/retry</x:v>
      </x:c>
      <x:c r="D66" s="4" t="str">
        <x:v>Fremprovoser en Miro/Jira 500 i testmiljø.</x:v>
      </x:c>
      <x:c r="E66" s="4" t="str">
        <x:v>Feil blir synlig, queue retry skjer innen konfigurerte grenser, og systemet stabiliserer seg.</x:v>
      </x:c>
      <x:c r="F66" s="4" t="str">
        <x:v>Cloudflare queue</x:v>
      </x:c>
      <x:c r="G66" s="3" t="str">
        <x:v>Ikke testet</x:v>
      </x:c>
      <x:c r="H66" s="3" t="str"/>
      <x:c r="I66" s="5" t="str"/>
      <x:c r="J66" s="4" t="str"/>
    </x:row>
    <x:row r="67">
      <x:c r="A67" s="14" t="str">
        <x:v>F-04</x:v>
      </x:c>
      <x:c r="B67" s="3" t="str">
        <x:v>Reliabilitet</x:v>
      </x:c>
      <x:c r="C67" s="3" t="str">
        <x:v>Refresh etter deploy</x:v>
      </x:c>
      <x:c r="D67" s="4" t="str">
        <x:v>Refresh Miro og åpne appen på nytt etter deploy.</x:v>
      </x:c>
      <x:c r="E67" s="4" t="str">
        <x:v>Appen registrerer kort, mappings og indikatorer på nytt uten duplikater.</x:v>
      </x:c>
      <x:c r="F67" s="4" t="str">
        <x:v>Miro UI og CARD_MAP</x:v>
      </x:c>
      <x:c r="G67" s="3" t="str">
        <x:v>Bestått</x:v>
      </x:c>
      <x:c r="H67" s="3" t="str">
        <x:v>Terje</x:v>
      </x:c>
      <x:c r="I67" s="5" t="n">
        <x:v>46274.5</x:v>
      </x:c>
      <x:c r="J67" s="4" t="str">
        <x:v>Godkjent av bruker uten separat manuell test.</x:v>
      </x:c>
    </x:row>
    <x:row r="68">
      <x:c r="A68" s="14" t="str">
        <x:v>F-05</x:v>
      </x:c>
      <x:c r="B68" s="3" t="str">
        <x:v>Reliabilitet</x:v>
      </x:c>
      <x:c r="C68" s="3" t="str">
        <x:v>Full statusrunde</x:v>
      </x:c>
      <x:c r="D68" s="4" t="str">
        <x:v>Kjør én sak gjennom alle godkjente Jira-statuser og tilbake via Miro.</x:v>
      </x:c>
      <x:c r="E68" s="4" t="str">
        <x:v>Jira og Miro ender med samme status hele veien.</x:v>
      </x:c>
      <x:c r="F68" s="4" t="str">
        <x:v>Jira og Miro-board</x:v>
      </x:c>
      <x:c r="G68" s="3" t="str">
        <x:v>Bestått</x:v>
      </x:c>
      <x:c r="H68" s="3" t="str">
        <x:v>Terje</x:v>
      </x:c>
      <x:c r="I68" s="5" t="n">
        <x:v>46274.5</x:v>
      </x:c>
      <x:c r="J68" s="4" t="str">
        <x:v>Godkjent av bruker uten separat manuell test.</x:v>
      </x:c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</x:sheetData>
  <x:mergeCells>
    <x:mergeCell ref="A1:J1"/>
    <x:mergeCell ref="A2:J2"/>
  </x:mergeCells>
  <x:conditionalFormatting sqref="G5:G68">
    <x:cfRule type="containsText" dxfId="0" priority="1" operator="containsText" text="Bestått"/>
    <x:cfRule type="containsText" dxfId="1" priority="2" operator="containsText" text="Feilet"/>
    <x:cfRule type="containsText" dxfId="2" priority="3" operator="containsText" text="Blokkert"/>
  </x:conditionalFormatting>
  <x:dataValidations count="1">
    <x:dataValidation type="list" sqref="G5:G68">
      <x:formula1>"Ikke testet,Bestått,Feilet,Blokkert,Ikke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611015adfe4b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4" hidden="0" customWidth="1"/>
    <x:col min="3" max="3" width="60" hidden="0" customWidth="1"/>
  </x:cols>
  <x:sheetData>
    <x:row r="1">
      <x:c r="A1" s="27" t="str">
        <x:v>Modul / funksjonsområde</x:v>
      </x:c>
      <x:c r="B1" s="28" t="str">
        <x:v>Dekkes av test-IDer</x:v>
      </x:c>
      <x:c r="C1" s="29" t="str">
        <x:v>Hva verifiseres</x:v>
      </x:c>
    </x:row>
    <x:row r="2">
      <x:c r="A2" s="30" t="str">
        <x:v>src/index.js: HTTP-routes og orkestrering</x:v>
      </x:c>
      <x:c r="B2" s="24" t="str">
        <x:v>A-01–A-05, B-01–B-17, C-01–C-13, D-01–D-16</x:v>
      </x:c>
      <x:c r="C2" s="31" t="str">
        <x:v>Routing, auth, webhook-flyt, status- og konverteringsflyt</x:v>
      </x:c>
    </x:row>
    <x:row r="3">
      <x:c r="A3" s="30" t="str">
        <x:v>GET /health</x:v>
      </x:c>
      <x:c r="B3" s="24" t="str">
        <x:v>A-01</x:v>
      </x:c>
      <x:c r="C3" s="31" t="str">
        <x:v>Konfigurasjon og nødvendige bindings</x:v>
      </x:c>
    </x:row>
    <x:row r="4">
      <x:c r="A4" s="30" t="str">
        <x:v>OPTIONS / og CORS</x:v>
      </x:c>
      <x:c r="B4" s="24" t="str">
        <x:v>A-02</x:v>
      </x:c>
      <x:c r="C4" s="31" t="str">
        <x:v>Preflight og nettleserkommunikasjon</x:v>
      </x:c>
    </x:row>
    <x:row r="5">
      <x:c r="A5" s="30" t="str">
        <x:v>Miro-token og Miro-beskyttede routes</x:v>
      </x:c>
      <x:c r="B5" s="24" t="str">
        <x:v>A-03, C-01–C-13, D-01–D-16, E-01–E-05</x:v>
      </x:c>
      <x:c r="C5" s="31" t="str">
        <x:v>Tilgangskontroll for Miro-appen</x:v>
      </x:c>
    </x:row>
    <x:row r="6">
      <x:c r="A6" s="30" t="str">
        <x:v>Jira webhook-secret</x:v>
      </x:c>
      <x:c r="B6" s="24" t="str">
        <x:v>A-04, B-01–B-17, F-03</x:v>
      </x:c>
      <x:c r="C6" s="31" t="str">
        <x:v>Signatur/secret og queue retry</x:v>
      </x:c>
    </x:row>
    <x:row r="7">
      <x:c r="A7" s="30" t="str">
        <x:v>Jira-lesing og live status</x:v>
      </x:c>
      <x:c r="B7" s="24" t="str">
        <x:v>B-03–B-07, B-08, B-14, C-01–C-11</x:v>
      </x:c>
      <x:c r="C7" s="31" t="str">
        <x:v>Riktig statusgrunnlag og fallback</x:v>
      </x:c>
    </x:row>
    <x:row r="8">
      <x:c r="A8" s="30" t="str">
        <x:v>Jira issue-opprettelse</x:v>
      </x:c>
      <x:c r="B8" s="24" t="str">
        <x:v>D-01–D-16</x:v>
      </x:c>
      <x:c r="C8" s="31" t="str">
        <x:v>Work type, defaults og idempotens</x:v>
      </x:c>
    </x:row>
    <x:row r="9">
      <x:c r="A9" s="30" t="str">
        <x:v>Jira status transitions og gate</x:v>
      </x:c>
      <x:c r="B9" s="24" t="str">
        <x:v>C-01–C-11, D-02–D-06</x:v>
      </x:c>
      <x:c r="C9" s="31" t="str">
        <x:v>Overganger, Test area-regel og rollback</x:v>
      </x:c>
    </x:row>
    <x:row r="10">
      <x:c r="A10" s="30" t="str">
        <x:v>Jira Reporter og metadata</x:v>
      </x:c>
      <x:c r="B10" s="24" t="str">
        <x:v>D-07–D-12</x:v>
      </x:c>
      <x:c r="C10" s="31" t="str">
        <x:v>Reporter, Original Miro created og påkrevde felt</x:v>
      </x:c>
    </x:row>
    <x:row r="11">
      <x:c r="A11" s="30" t="str">
        <x:v>Jira kommentarer</x:v>
      </x:c>
      <x:c r="B11" s="24" t="str">
        <x:v>B-12–B-13, C-12–C-13</x:v>
      </x:c>
      <x:c r="C11" s="31" t="str">
        <x:v>Lesing, indikator og opprettelse</x:v>
      </x:c>
    </x:row>
    <x:row r="12">
      <x:c r="A12" s="30" t="str">
        <x:v>src/miro.js: getItem/patchItem/listItems</x:v>
      </x:c>
      <x:c r="B12" s="24" t="str">
        <x:v>B-01–B-17, C-01–C-11, F-02–F-03</x:v>
      </x:c>
      <x:c r="C12" s="31" t="str">
        <x:v>Miro-lesing, flytting, listing, feil og retry</x:v>
      </x:c>
    </x:row>
    <x:row r="13">
      <x:c r="A13" s="30" t="str">
        <x:v>Miro custom-card create/refresh/dedupe</x:v>
      </x:c>
      <x:c r="B13" s="24" t="str">
        <x:v>B-01, B-02, B-09–B-11, B-15–B-16, D-01–D-16</x:v>
      </x:c>
      <x:c r="C13" s="31" t="str">
        <x:v>Card-innhold, duplikatkontroll og posisjon</x:v>
      </x:c>
    </x:row>
    <x:row r="14">
      <x:c r="A14" s="30" t="str">
        <x:v>Miro mapping og Incoming</x:v>
      </x:c>
      <x:c r="B14" s="24" t="str">
        <x:v>B-01–B-02, B-15–B-16, E-02</x:v>
      </x:c>
      <x:c r="C14" s="31" t="str">
        <x:v>CARD_MAP, Incoming og stale mapping</x:v>
      </x:c>
    </x:row>
    <x:row r="15">
      <x:c r="A15" s="30" t="str">
        <x:v>Collision/placement</x:v>
      </x:c>
      <x:c r="B15" s="24" t="str">
        <x:v>C-05, C-10, D-01–D-06</x:v>
      </x:c>
      <x:c r="C15" s="31" t="str">
        <x:v>Y-bevaring, kolonnegrense og kollisjonsfri plassering</x:v>
      </x:c>
    </x:row>
    <x:row r="16">
      <x:c r="A16" s="30" t="str">
        <x:v>Parent-cache</x:v>
      </x:c>
      <x:c r="B16" s="24" t="str">
        <x:v>B-17, F-04</x:v>
      </x:c>
      <x:c r="C16" s="31" t="str">
        <x:v>Cache ved varm instans og korrekt oppførsel etter refresh/deploy</x:v>
      </x:c>
    </x:row>
    <x:row r="17">
      <x:c r="A17" s="30" t="str">
        <x:v>src/app-client.js: drag/debounce</x:v>
      </x:c>
      <x:c r="B17" s="24" t="str">
        <x:v>C-02–C-11, E-02–E-08</x:v>
      </x:c>
      <x:c r="C17" s="31" t="str">
        <x:v>Custom-card-drag, 60 %-regel, debounce, statuskall og link/UI-flyt</x:v>
      </x:c>
    </x:row>
    <x:row r="18">
      <x:c r="A18" s="30" t="str">
        <x:v>Miro rollback og varsler</x:v>
      </x:c>
      <x:c r="B18" s="24" t="str">
        <x:v>C-07–C-08, D-14</x:v>
      </x:c>
      <x:c r="C18" s="31" t="str">
        <x:v>Tilbakerulling ved Jira-feil</x:v>
      </x:c>
    </x:row>
    <x:row r="19">
      <x:c r="A19" s="30" t="str">
        <x:v>Kommentarindikator og kortmeny</x:v>
      </x:c>
      <x:c r="B19" s="24" t="str">
        <x:v>B-12–B-13, C-12–C-13, E-04–E-05</x:v>
      </x:c>
      <x:c r="C19" s="31" t="str">
        <x:v>Indikator, følgeposisjon og modal</x:v>
      </x:c>
    </x:row>
    <x:row r="20">
      <x:c r="A20" s="30" t="str">
        <x:v>Sticky-posisjon og workflow</x:v>
      </x:c>
      <x:c r="B20" s="24" t="str">
        <x:v>D-01–D-06, D-14–D-16</x:v>
      </x:c>
      <x:c r="C20" s="31" t="str">
        <x:v>Eksakt posisjon, status og feilisolering</x:v>
      </x:c>
    </x:row>
    <x:row r="21">
      <x:c r="A21" s="30" t="str">
        <x:v>Sticky idempotens og metadata</x:v>
      </x:c>
      <x:c r="B21" s="24" t="str">
        <x:v>D-11–D-13, D-16</x:v>
      </x:c>
      <x:c r="C21" s="31" t="str">
        <x:v>Reporter, retry og konkurrerende Jira-webhook</x:v>
      </x:c>
    </x:row>
    <x:row r="22">
      <x:c r="A22" s="30" t="str">
        <x:v>src/panel-client.js: panel og multi-select</x:v>
      </x:c>
      <x:c r="B22" s="24" t="str">
        <x:v>D-01–D-16, E-01</x:v>
      </x:c>
      <x:c r="C22" s="31" t="str">
        <x:v>Konvertering, work type og fortsettelse etter feil</x:v>
      </x:c>
    </x:row>
    <x:row r="23">
      <x:c r="A23" s="30" t="str">
        <x:v>src/ui.js / comments-client.js</x:v>
      </x:c>
      <x:c r="B23" s="24" t="str">
        <x:v>C-12–C-13, E-01, E-03–E-05, E-08</x:v>
      </x:c>
      <x:c r="C23" s="31" t="str">
        <x:v>Modaler, panel, Jira-lenker og brukerflyt</x:v>
      </x:c>
    </x:row>
    <x:row r="24">
      <x:c r="A24" s="32" t="str">
        <x:v>Drift, observability og queue</x:v>
      </x:c>
      <x:c r="B24" s="33" t="str">
        <x:v>F-01–F-05</x:v>
      </x:c>
      <x:c r="C24" s="34" t="str">
        <x:v>Queue delay, treghet, 500, retry og deploy-refresh</x:v>
      </x:c>
    </x:row>
  </x:sheetData>
  <x:pageMargins left="0.7" right="0.7" top="0.75" bottom="0.75" header="0.3" footer="0.3"/>
</x:worksheet>
</file>